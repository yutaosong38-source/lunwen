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6c10a7f94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polated_0p2V" sheetId="1" r:id="R5718037e0f764e44"/>
    <x:sheet xmlns:r="http://schemas.openxmlformats.org/officeDocument/2006/relationships" name="Digitized_points" sheetId="2" r:id="Ra7fa6388baba4dc5"/>
    <x:sheet xmlns:r="http://schemas.openxmlformats.org/officeDocument/2006/relationships" name="SIMULATED_NOT_MEASURED" sheetId="3" r:id="R0a124e87864c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.00"/>
  </x:numFmts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14663"/>
      </x:patternFill>
    </x:fill>
    <x:fill>
      <x:patternFill patternType="solid">
        <x:fgColor rgb="FF943D20"/>
      </x:patternFill>
    </x:fill>
    <x:fill>
      <x:patternFill patternType="solid">
        <x:fgColor rgb="FFE8EDF2"/>
      </x:patternFill>
    </x:fill>
    <x:fill>
      <x:patternFill patternType="solid">
        <x:fgColor rgb="FFFAFAFA"/>
      </x:patternFill>
    </x:fill>
    <x:fill>
      <x:patternFill patternType="solid">
        <x:fgColor rgb="FFF5E0D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addec1ce941b5" /><Relationship Type="http://schemas.openxmlformats.org/officeDocument/2006/relationships/theme" Target="/xl/theme/theme1.xml" Id="R3414117143c04fdc" /><Relationship Type="http://schemas.openxmlformats.org/officeDocument/2006/relationships/sharedStrings" Target="/xl/sharedStrings.xml" Id="R6514c55b3c444e0f" /><Relationship Type="http://schemas.openxmlformats.org/officeDocument/2006/relationships/worksheet" Target="/xl/worksheets/sheet1.xml" Id="R5718037e0f764e44" /><Relationship Type="http://schemas.openxmlformats.org/officeDocument/2006/relationships/worksheet" Target="/xl/worksheets/sheet2.xml" Id="Ra7fa6388baba4dc5" /><Relationship Type="http://schemas.openxmlformats.org/officeDocument/2006/relationships/worksheet" Target="/xl/worksheets/sheet3.xml" Id="R0a124e87864c4c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466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1.800000190734863" hidden="0" customWidth="1"/>
    <x:col min="3" max="3" width="11.800000190734863" hidden="0" customWidth="1"/>
    <x:col min="4" max="4" width="11.800000190734863" hidden="0" customWidth="1"/>
    <x:col min="5" max="5" width="11.800000190734863" hidden="0" customWidth="1"/>
    <x:col min="6" max="6" width="11.800000190734863" hidden="0" customWidth="1"/>
    <x:col min="7" max="7" width="25.600000381469727" hidden="0" customWidth="1"/>
    <x:col min="8" max="8" width="2" hidden="0" customWidth="1"/>
    <x:col min="9" max="9" width="16.600000381469727" hidden="0" customWidth="1"/>
    <x:col min="10" max="10" width="46" hidden="0" customWidth="1"/>
  </x:cols>
  <x:sheetData>
    <x:row r="1" ht="29" customHeight="1">
      <x:c r="A1" s="5" t="str">
        <x:v>Voltage_V</x:v>
      </x:c>
      <x:c r="B1" s="5" t="str">
        <x:v>I_0kPa_mA</x:v>
      </x:c>
      <x:c r="C1" s="5" t="str">
        <x:v>I_20kPa_mA</x:v>
      </x:c>
      <x:c r="D1" s="5" t="str">
        <x:v>I_40kPa_mA</x:v>
      </x:c>
      <x:c r="E1" s="5" t="str">
        <x:v>I_50kPa_mA</x:v>
      </x:c>
      <x:c r="F1" s="5" t="str">
        <x:v>I_60kPa_mA</x:v>
      </x:c>
      <x:c r="G1" s="5" t="str">
        <x:v>Point_kind</x:v>
      </x:c>
      <x:c r="H1" s="9"/>
      <x:c r="I1" s="19" t="str">
        <x:v>Processing</x:v>
      </x:c>
      <x:c r="J1" s="19" t="str">
        <x:v>Value</x:v>
      </x:c>
      <x:c r="K1" s="9"/>
      <x:c r="L1" s="9"/>
      <x:c r="M1" s="9"/>
      <x:c r="N1" s="9"/>
    </x:row>
    <x:row r="2" ht="24" customHeight="1">
      <x:c r="A2" s="10" t="n">
        <x:v>-2</x:v>
      </x:c>
      <x:c r="B2" s="11" t="n">
        <x:f>'Digitized_points'!B2</x:f>
        <x:v>-0.48</x:v>
      </x:c>
      <x:c r="C2" s="11" t="n">
        <x:f>'Digitized_points'!C2</x:f>
        <x:v>-0.71</x:v>
      </x:c>
      <x:c r="D2" s="11" t="n">
        <x:f>'Digitized_points'!D2</x:f>
        <x:v>-1.2</x:v>
      </x:c>
      <x:c r="E2" s="11" t="n">
        <x:f>'Digitized_points'!E2</x:f>
        <x:v>-1.47</x:v>
      </x:c>
      <x:c r="F2" s="11" t="n">
        <x:f>'Digitized_points'!F2</x:f>
        <x:v>-1.77</x:v>
      </x:c>
      <x:c r="G2" s="9" t="str">
        <x:v>IMAGE_GRID_ANCHOR</x:v>
      </x:c>
      <x:c r="H2" s="9"/>
      <x:c r="I2" s="9" t="str">
        <x:v>Grid</x:v>
      </x:c>
      <x:c r="J2" s="17" t="str">
        <x:v>-2 to +2 V; fixed 0.2 V step; 21 points per curve.</x:v>
      </x:c>
      <x:c r="K2" s="9"/>
      <x:c r="L2" s="9"/>
      <x:c r="M2" s="9"/>
      <x:c r="N2" s="9"/>
    </x:row>
    <x:row r="3" ht="24" customHeight="1">
      <x:c r="A3" s="10" t="n">
        <x:v>-1.8</x:v>
      </x:c>
      <x:c r="B3" s="11" t="n">
        <x:f>'Digitized_points'!B2+(A3-'Digitized_points'!A2)*('Digitized_points'!B3-'Digitized_points'!B2)/('Digitized_points'!A3-'Digitized_points'!A2)</x:f>
        <x:v>-0.432</x:v>
      </x:c>
      <x:c r="C3" s="11" t="n">
        <x:f>'Digitized_points'!C2+(A3-'Digitized_points'!A2)*('Digitized_points'!C3-'Digitized_points'!C2)/('Digitized_points'!A3-'Digitized_points'!A2)</x:f>
        <x:v>-0.642</x:v>
      </x:c>
      <x:c r="D3" s="11" t="n">
        <x:f>'Digitized_points'!D2+(A3-'Digitized_points'!A2)*('Digitized_points'!D3-'Digitized_points'!D2)/('Digitized_points'!A3-'Digitized_points'!A2)</x:f>
        <x:v>-1.076</x:v>
      </x:c>
      <x:c r="E3" s="11" t="n">
        <x:f>'Digitized_points'!E2+(A3-'Digitized_points'!A2)*('Digitized_points'!E3-'Digitized_points'!E2)/('Digitized_points'!A3-'Digitized_points'!A2)</x:f>
        <x:v>-1.326</x:v>
      </x:c>
      <x:c r="F3" s="11" t="n">
        <x:f>'Digitized_points'!F2+(A3-'Digitized_points'!A2)*('Digitized_points'!F3-'Digitized_points'!F2)/('Digitized_points'!A3-'Digitized_points'!A2)</x:f>
        <x:v>-1.59</x:v>
      </x:c>
      <x:c r="G3" s="9" t="str">
        <x:v>INTERPOLATED_NOT_MEASURED</x:v>
      </x:c>
      <x:c r="H3" s="9"/>
      <x:c r="I3" s="9" t="str">
        <x:v>Method</x:v>
      </x:c>
      <x:c r="J3" s="17" t="str">
        <x:v>Piecewise-linear interpolation of image estimates; no extrapolation.</x:v>
      </x:c>
      <x:c r="K3" s="9"/>
      <x:c r="L3" s="9"/>
      <x:c r="M3" s="9"/>
      <x:c r="N3" s="9"/>
    </x:row>
    <x:row r="4" ht="24" customHeight="1">
      <x:c r="A4" s="10" t="n">
        <x:v>-1.6</x:v>
      </x:c>
      <x:c r="B4" s="11" t="n">
        <x:f>'Digitized_points'!B2+(A4-'Digitized_points'!A2)*('Digitized_points'!B3-'Digitized_points'!B2)/('Digitized_points'!A3-'Digitized_points'!A2)</x:f>
        <x:v>-0.384</x:v>
      </x:c>
      <x:c r="C4" s="11" t="n">
        <x:f>'Digitized_points'!C2+(A4-'Digitized_points'!A2)*('Digitized_points'!C3-'Digitized_points'!C2)/('Digitized_points'!A3-'Digitized_points'!A2)</x:f>
        <x:v>-0.5740000000000001</x:v>
      </x:c>
      <x:c r="D4" s="11" t="n">
        <x:f>'Digitized_points'!D2+(A4-'Digitized_points'!A2)*('Digitized_points'!D3-'Digitized_points'!D2)/('Digitized_points'!A3-'Digitized_points'!A2)</x:f>
        <x:v>-0.9520000000000001</x:v>
      </x:c>
      <x:c r="E4" s="11" t="n">
        <x:f>'Digitized_points'!E2+(A4-'Digitized_points'!A2)*('Digitized_points'!E3-'Digitized_points'!E2)/('Digitized_points'!A3-'Digitized_points'!A2)</x:f>
        <x:v>-1.1820000000000002</x:v>
      </x:c>
      <x:c r="F4" s="11" t="n">
        <x:f>'Digitized_points'!F2+(A4-'Digitized_points'!A2)*('Digitized_points'!F3-'Digitized_points'!F2)/('Digitized_points'!A3-'Digitized_points'!A2)</x:f>
        <x:v>-1.4100000000000001</x:v>
      </x:c>
      <x:c r="G4" s="9" t="str">
        <x:v>INTERPOLATED_NOT_MEASURED</x:v>
      </x:c>
      <x:c r="H4" s="9"/>
      <x:c r="I4" s="9" t="str">
        <x:v>Data type</x:v>
      </x:c>
      <x:c r="J4" s="17" t="str">
        <x:v>All values are image-derived estimates or interpolation, NOT added measurements.</x:v>
      </x:c>
      <x:c r="K4" s="9"/>
      <x:c r="L4" s="9"/>
      <x:c r="M4" s="9"/>
      <x:c r="N4" s="9"/>
    </x:row>
    <x:row r="5" ht="24" customHeight="1">
      <x:c r="A5" s="10" t="n">
        <x:v>-1.4</x:v>
      </x:c>
      <x:c r="B5" s="11" t="n">
        <x:f>'Digitized_points'!B3+(A5-'Digitized_points'!A3)*('Digitized_points'!B4-'Digitized_points'!B3)/('Digitized_points'!A4-'Digitized_points'!A3)</x:f>
        <x:v>-0.33399999999999996</x:v>
      </x:c>
      <x:c r="C5" s="11" t="n">
        <x:f>'Digitized_points'!C3+(A5-'Digitized_points'!A3)*('Digitized_points'!C4-'Digitized_points'!C3)/('Digitized_points'!A4-'Digitized_points'!A3)</x:f>
        <x:v>-0.504</x:v>
      </x:c>
      <x:c r="D5" s="11" t="n">
        <x:f>'Digitized_points'!D3+(A5-'Digitized_points'!A3)*('Digitized_points'!D4-'Digitized_points'!D3)/('Digitized_points'!A4-'Digitized_points'!A3)</x:f>
        <x:v>-0.832</x:v>
      </x:c>
      <x:c r="E5" s="11" t="n">
        <x:f>'Digitized_points'!E3+(A5-'Digitized_points'!A3)*('Digitized_points'!E4-'Digitized_points'!E3)/('Digitized_points'!A4-'Digitized_points'!A3)</x:f>
        <x:v>-1.034</x:v>
      </x:c>
      <x:c r="F5" s="11" t="n">
        <x:f>'Digitized_points'!F3+(A5-'Digitized_points'!A3)*('Digitized_points'!F4-'Digitized_points'!F3)/('Digitized_points'!A4-'Digitized_points'!A3)</x:f>
        <x:v>-1.232</x:v>
      </x:c>
      <x:c r="G5" s="9" t="str">
        <x:v>INTERPOLATED_NOT_MEASURED</x:v>
      </x:c>
      <x:c r="H5" s="9"/>
      <x:c r="I5" s="9" t="str">
        <x:v>Origin import</x:v>
      </x:c>
      <x:c r="J5" s="17" t="str">
        <x:v>Select columns A:F. Set A as X, B:F as Y. Voltage in V; current in mA.</x:v>
      </x:c>
      <x:c r="K5" s="9"/>
      <x:c r="L5" s="9"/>
      <x:c r="M5" s="9"/>
      <x:c r="N5" s="9"/>
    </x:row>
    <x:row r="6" ht="24" customHeight="1">
      <x:c r="A6" s="10" t="n">
        <x:v>-1.2</x:v>
      </x:c>
      <x:c r="B6" s="11" t="n">
        <x:f>'Digitized_points'!B3+(A6-'Digitized_points'!A3)*('Digitized_points'!B4-'Digitized_points'!B3)/('Digitized_points'!A4-'Digitized_points'!A3)</x:f>
        <x:v>-0.282</x:v>
      </x:c>
      <x:c r="C6" s="11" t="n">
        <x:f>'Digitized_points'!C3+(A6-'Digitized_points'!A3)*('Digitized_points'!C4-'Digitized_points'!C3)/('Digitized_points'!A4-'Digitized_points'!A3)</x:f>
        <x:v>-0.432</x:v>
      </x:c>
      <x:c r="D6" s="11" t="n">
        <x:f>'Digitized_points'!D3+(A6-'Digitized_points'!A3)*('Digitized_points'!D4-'Digitized_points'!D3)/('Digitized_points'!A4-'Digitized_points'!A3)</x:f>
        <x:v>-0.716</x:v>
      </x:c>
      <x:c r="E6" s="11" t="n">
        <x:f>'Digitized_points'!E3+(A6-'Digitized_points'!A3)*('Digitized_points'!E4-'Digitized_points'!E3)/('Digitized_points'!A4-'Digitized_points'!A3)</x:f>
        <x:v>-0.882</x:v>
      </x:c>
      <x:c r="F6" s="11" t="n">
        <x:f>'Digitized_points'!F3+(A6-'Digitized_points'!A3)*('Digitized_points'!F4-'Digitized_points'!F3)/('Digitized_points'!A4-'Digitized_points'!A3)</x:f>
        <x:v>-1.056</x:v>
      </x:c>
      <x:c r="G6" s="9" t="str">
        <x:v>INTERPOLATED_NOT_MEASURED</x:v>
      </x:c>
      <x:c r="H6" s="9"/>
      <x:c r="I6" s="9" t="str">
        <x:v>Updating</x:v>
      </x:c>
      <x:c r="J6" s="17" t="str">
        <x:v>Changing source current estimates updates the interpolation. The voltage grid and segment mapping are fixed.</x:v>
      </x:c>
      <x:c r="K6" s="9"/>
      <x:c r="L6" s="9"/>
      <x:c r="M6" s="9"/>
      <x:c r="N6" s="9"/>
    </x:row>
    <x:row r="7" ht="24" customHeight="1">
      <x:c r="A7" s="10" t="n">
        <x:v>-1</x:v>
      </x:c>
      <x:c r="B7" s="11" t="n">
        <x:f>'Digitized_points'!B4</x:f>
        <x:v>-0.23</x:v>
      </x:c>
      <x:c r="C7" s="11" t="n">
        <x:f>'Digitized_points'!C4</x:f>
        <x:v>-0.36</x:v>
      </x:c>
      <x:c r="D7" s="11" t="n">
        <x:f>'Digitized_points'!D4</x:f>
        <x:v>-0.6</x:v>
      </x:c>
      <x:c r="E7" s="11" t="n">
        <x:f>'Digitized_points'!E4</x:f>
        <x:v>-0.73</x:v>
      </x:c>
      <x:c r="F7" s="11" t="n">
        <x:f>'Digitized_points'!F4</x:f>
        <x:v>-0.88</x:v>
      </x:c>
      <x:c r="G7" s="9" t="str">
        <x:v>IMAGE_GRID_ANCHOR</x:v>
      </x:c>
      <x:c r="H7" s="9"/>
      <x:c r="I7" s="9"/>
      <x:c r="J7" s="9"/>
      <x:c r="K7" s="9"/>
      <x:c r="L7" s="9"/>
      <x:c r="M7" s="9"/>
      <x:c r="N7" s="9"/>
    </x:row>
    <x:row r="8" ht="24" customHeight="1">
      <x:c r="A8" s="10" t="n">
        <x:v>-0.8</x:v>
      </x:c>
      <x:c r="B8" s="11" t="n">
        <x:f>'Digitized_points'!B4+(A8-'Digitized_points'!A4)*('Digitized_points'!B5-'Digitized_points'!B4)/('Digitized_points'!A5-'Digitized_points'!A4)</x:f>
        <x:v>-0.17400000000000002</x:v>
      </x:c>
      <x:c r="C8" s="11" t="n">
        <x:f>'Digitized_points'!C4+(A8-'Digitized_points'!A4)*('Digitized_points'!C5-'Digitized_points'!C4)/('Digitized_points'!A5-'Digitized_points'!A4)</x:f>
        <x:v>-0.28</x:v>
      </x:c>
      <x:c r="D8" s="11" t="n">
        <x:f>'Digitized_points'!D4+(A8-'Digitized_points'!A4)*('Digitized_points'!D5-'Digitized_points'!D4)/('Digitized_points'!A5-'Digitized_points'!A4)</x:f>
        <x:v>-0.468</x:v>
      </x:c>
      <x:c r="E8" s="11" t="n">
        <x:f>'Digitized_points'!E4+(A8-'Digitized_points'!A4)*('Digitized_points'!E5-'Digitized_points'!E4)/('Digitized_points'!A5-'Digitized_points'!A4)</x:f>
        <x:v>-0.5780000000000001</x:v>
      </x:c>
      <x:c r="F8" s="11" t="n">
        <x:f>'Digitized_points'!F4+(A8-'Digitized_points'!A4)*('Digitized_points'!F5-'Digitized_points'!F4)/('Digitized_points'!A5-'Digitized_points'!A4)</x:f>
        <x:v>-0.7000000000000001</x:v>
      </x:c>
      <x:c r="G8" s="9" t="str">
        <x:v>INTERPOLATED_NOT_MEASURED</x:v>
      </x:c>
      <x:c r="H8" s="9"/>
      <x:c r="I8" s="9"/>
      <x:c r="J8" s="9"/>
      <x:c r="K8" s="9"/>
      <x:c r="L8" s="9"/>
      <x:c r="M8" s="9"/>
      <x:c r="N8" s="9"/>
    </x:row>
    <x:row r="9" ht="24" customHeight="1">
      <x:c r="A9" s="10" t="n">
        <x:v>-0.6</x:v>
      </x:c>
      <x:c r="B9" s="11" t="n">
        <x:f>'Digitized_points'!B4+(A9-'Digitized_points'!A4)*('Digitized_points'!B5-'Digitized_points'!B4)/('Digitized_points'!A5-'Digitized_points'!A4)</x:f>
        <x:v>-0.118</x:v>
      </x:c>
      <x:c r="C9" s="11" t="n">
        <x:f>'Digitized_points'!C4+(A9-'Digitized_points'!A4)*('Digitized_points'!C5-'Digitized_points'!C4)/('Digitized_points'!A5-'Digitized_points'!A4)</x:f>
        <x:v>-0.19999999999999998</x:v>
      </x:c>
      <x:c r="D9" s="11" t="n">
        <x:f>'Digitized_points'!D4+(A9-'Digitized_points'!A4)*('Digitized_points'!D5-'Digitized_points'!D4)/('Digitized_points'!A5-'Digitized_points'!A4)</x:f>
        <x:v>-0.336</x:v>
      </x:c>
      <x:c r="E9" s="11" t="n">
        <x:f>'Digitized_points'!E4+(A9-'Digitized_points'!A4)*('Digitized_points'!E5-'Digitized_points'!E4)/('Digitized_points'!A5-'Digitized_points'!A4)</x:f>
        <x:v>-0.42599999999999993</x:v>
      </x:c>
      <x:c r="F9" s="11" t="n">
        <x:f>'Digitized_points'!F4+(A9-'Digitized_points'!A4)*('Digitized_points'!F5-'Digitized_points'!F4)/('Digitized_points'!A5-'Digitized_points'!A4)</x:f>
        <x:v>-0.52</x:v>
      </x:c>
      <x:c r="G9" s="9" t="str">
        <x:v>INTERPOLATED_NOT_MEASURED</x:v>
      </x:c>
      <x:c r="H9" s="9"/>
      <x:c r="I9" s="9"/>
      <x:c r="J9" s="9"/>
      <x:c r="K9" s="9"/>
      <x:c r="L9" s="9"/>
      <x:c r="M9" s="9"/>
      <x:c r="N9" s="9"/>
    </x:row>
    <x:row r="10" ht="24" customHeight="1">
      <x:c r="A10" s="10" t="n">
        <x:v>-0.4</x:v>
      </x:c>
      <x:c r="B10" s="11" t="n">
        <x:f>'Digitized_points'!B5+(A10-'Digitized_points'!A5)*('Digitized_points'!B6-'Digitized_points'!B5)/('Digitized_points'!A6-'Digitized_points'!A5)</x:f>
        <x:v>-0.07200000000000001</x:v>
      </x:c>
      <x:c r="C10" s="11" t="n">
        <x:f>'Digitized_points'!C5+(A10-'Digitized_points'!A5)*('Digitized_points'!C6-'Digitized_points'!C5)/('Digitized_points'!A6-'Digitized_points'!A5)</x:f>
        <x:v>-0.128</x:v>
      </x:c>
      <x:c r="D10" s="11" t="n">
        <x:f>'Digitized_points'!D5+(A10-'Digitized_points'!A5)*('Digitized_points'!D6-'Digitized_points'!D5)/('Digitized_points'!A6-'Digitized_points'!A5)</x:f>
        <x:v>-0.21600000000000003</x:v>
      </x:c>
      <x:c r="E10" s="11" t="n">
        <x:f>'Digitized_points'!E5+(A10-'Digitized_points'!A5)*('Digitized_points'!E6-'Digitized_points'!E5)/('Digitized_points'!A6-'Digitized_points'!A5)</x:f>
        <x:v>-0.28</x:v>
      </x:c>
      <x:c r="F10" s="11" t="n">
        <x:f>'Digitized_points'!F5+(A10-'Digitized_points'!A5)*('Digitized_points'!F6-'Digitized_points'!F5)/('Digitized_points'!A6-'Digitized_points'!A5)</x:f>
        <x:v>-0.34400000000000003</x:v>
      </x:c>
      <x:c r="G10" s="9" t="str">
        <x:v>INTERPOLATED_NOT_MEASURED</x:v>
      </x:c>
      <x:c r="H10" s="9"/>
      <x:c r="I10" s="9"/>
      <x:c r="J10" s="9"/>
      <x:c r="K10" s="9"/>
      <x:c r="L10" s="9"/>
      <x:c r="M10" s="9"/>
      <x:c r="N10" s="9"/>
    </x:row>
    <x:row r="11" ht="24" customHeight="1">
      <x:c r="A11" s="10" t="n">
        <x:v>-0.2</x:v>
      </x:c>
      <x:c r="B11" s="11" t="n">
        <x:f>'Digitized_points'!B5+(A11-'Digitized_points'!A5)*('Digitized_points'!B6-'Digitized_points'!B5)/('Digitized_points'!A6-'Digitized_points'!A5)</x:f>
        <x:v>-0.036</x:v>
      </x:c>
      <x:c r="C11" s="11" t="n">
        <x:f>'Digitized_points'!C5+(A11-'Digitized_points'!A5)*('Digitized_points'!C6-'Digitized_points'!C5)/('Digitized_points'!A6-'Digitized_points'!A5)</x:f>
        <x:v>-0.064</x:v>
      </x:c>
      <x:c r="D11" s="11" t="n">
        <x:f>'Digitized_points'!D5+(A11-'Digitized_points'!A5)*('Digitized_points'!D6-'Digitized_points'!D5)/('Digitized_points'!A6-'Digitized_points'!A5)</x:f>
        <x:v>-0.10800000000000001</x:v>
      </x:c>
      <x:c r="E11" s="11" t="n">
        <x:f>'Digitized_points'!E5+(A11-'Digitized_points'!A5)*('Digitized_points'!E6-'Digitized_points'!E5)/('Digitized_points'!A6-'Digitized_points'!A5)</x:f>
        <x:v>-0.13999999999999999</x:v>
      </x:c>
      <x:c r="F11" s="11" t="n">
        <x:f>'Digitized_points'!F5+(A11-'Digitized_points'!A5)*('Digitized_points'!F6-'Digitized_points'!F5)/('Digitized_points'!A6-'Digitized_points'!A5)</x:f>
        <x:v>-0.172</x:v>
      </x:c>
      <x:c r="G11" s="9" t="str">
        <x:v>INTERPOLATED_NOT_MEASURED</x:v>
      </x:c>
      <x:c r="H11" s="9"/>
      <x:c r="I11" s="9"/>
      <x:c r="J11" s="9"/>
      <x:c r="K11" s="9"/>
      <x:c r="L11" s="9"/>
      <x:c r="M11" s="9"/>
      <x:c r="N11" s="9"/>
    </x:row>
    <x:row r="12" ht="24" customHeight="1">
      <x:c r="A12" s="10" t="n">
        <x:v>0</x:v>
      </x:c>
      <x:c r="B12" s="11" t="n">
        <x:f>'Digitized_points'!B6</x:f>
        <x:v>0</x:v>
      </x:c>
      <x:c r="C12" s="11" t="n">
        <x:f>'Digitized_points'!C6</x:f>
        <x:v>0</x:v>
      </x:c>
      <x:c r="D12" s="11" t="n">
        <x:f>'Digitized_points'!D6</x:f>
        <x:v>0</x:v>
      </x:c>
      <x:c r="E12" s="11" t="n">
        <x:f>'Digitized_points'!E6</x:f>
        <x:v>0</x:v>
      </x:c>
      <x:c r="F12" s="11" t="n">
        <x:f>'Digitized_points'!F6</x:f>
        <x:v>0</x:v>
      </x:c>
      <x:c r="G12" s="9" t="str">
        <x:v>SHARED_ORIGIN_ESTIMATE</x:v>
      </x:c>
      <x:c r="H12" s="9"/>
      <x:c r="I12" s="9"/>
      <x:c r="J12" s="9"/>
      <x:c r="K12" s="9"/>
      <x:c r="L12" s="9"/>
      <x:c r="M12" s="9"/>
      <x:c r="N12" s="9"/>
    </x:row>
    <x:row r="13" ht="24" customHeight="1">
      <x:c r="A13" s="10" t="n">
        <x:v>0.2</x:v>
      </x:c>
      <x:c r="B13" s="11" t="n">
        <x:f>'Digitized_points'!B6+(A13-'Digitized_points'!A6)*('Digitized_points'!B7-'Digitized_points'!B6)/('Digitized_points'!A7-'Digitized_points'!A6)</x:f>
        <x:v>0.04000000000000001</x:v>
      </x:c>
      <x:c r="C13" s="11" t="n">
        <x:f>'Digitized_points'!C6+(A13-'Digitized_points'!A6)*('Digitized_points'!C7-'Digitized_points'!C6)/('Digitized_points'!A7-'Digitized_points'!A6)</x:f>
        <x:v>0.07600000000000001</x:v>
      </x:c>
      <x:c r="D13" s="11" t="n">
        <x:f>'Digitized_points'!D6+(A13-'Digitized_points'!A6)*('Digitized_points'!D7-'Digitized_points'!D6)/('Digitized_points'!A7-'Digitized_points'!A6)</x:f>
        <x:v>0.15200000000000002</x:v>
      </x:c>
      <x:c r="E13" s="11" t="n">
        <x:f>'Digitized_points'!E6+(A13-'Digitized_points'!A6)*('Digitized_points'!E7-'Digitized_points'!E6)/('Digitized_points'!A7-'Digitized_points'!A6)</x:f>
        <x:v>0.12</x:v>
      </x:c>
      <x:c r="F13" s="11" t="n">
        <x:f>'Digitized_points'!F6+(A13-'Digitized_points'!A6)*('Digitized_points'!F7-'Digitized_points'!F6)/('Digitized_points'!A7-'Digitized_points'!A6)</x:f>
        <x:v>0.18000000000000002</x:v>
      </x:c>
      <x:c r="G13" s="9" t="str">
        <x:v>INTERPOLATED_NOT_MEASURED</x:v>
      </x:c>
      <x:c r="H13" s="9"/>
      <x:c r="I13" s="9"/>
      <x:c r="J13" s="9"/>
      <x:c r="K13" s="9"/>
      <x:c r="L13" s="9"/>
      <x:c r="M13" s="9"/>
      <x:c r="N13" s="9"/>
    </x:row>
    <x:row r="14" ht="24" customHeight="1">
      <x:c r="A14" s="10" t="n">
        <x:v>0.4</x:v>
      </x:c>
      <x:c r="B14" s="11" t="n">
        <x:f>'Digitized_points'!B6+(A14-'Digitized_points'!A6)*('Digitized_points'!B7-'Digitized_points'!B6)/('Digitized_points'!A7-'Digitized_points'!A6)</x:f>
        <x:v>0.08000000000000002</x:v>
      </x:c>
      <x:c r="C14" s="11" t="n">
        <x:f>'Digitized_points'!C6+(A14-'Digitized_points'!A6)*('Digitized_points'!C7-'Digitized_points'!C6)/('Digitized_points'!A7-'Digitized_points'!A6)</x:f>
        <x:v>0.15200000000000002</x:v>
      </x:c>
      <x:c r="D14" s="11" t="n">
        <x:f>'Digitized_points'!D6+(A14-'Digitized_points'!A6)*('Digitized_points'!D7-'Digitized_points'!D6)/('Digitized_points'!A7-'Digitized_points'!A6)</x:f>
        <x:v>0.30400000000000005</x:v>
      </x:c>
      <x:c r="E14" s="11" t="n">
        <x:f>'Digitized_points'!E6+(A14-'Digitized_points'!A6)*('Digitized_points'!E7-'Digitized_points'!E6)/('Digitized_points'!A7-'Digitized_points'!A6)</x:f>
        <x:v>0.24</x:v>
      </x:c>
      <x:c r="F14" s="11" t="n">
        <x:f>'Digitized_points'!F6+(A14-'Digitized_points'!A6)*('Digitized_points'!F7-'Digitized_points'!F6)/('Digitized_points'!A7-'Digitized_points'!A6)</x:f>
        <x:v>0.36000000000000004</x:v>
      </x:c>
      <x:c r="G14" s="9" t="str">
        <x:v>INTERPOLATED_NOT_MEASURED</x:v>
      </x:c>
      <x:c r="H14" s="9"/>
      <x:c r="I14" s="9"/>
      <x:c r="J14" s="9"/>
      <x:c r="K14" s="9"/>
      <x:c r="L14" s="9"/>
      <x:c r="M14" s="9"/>
      <x:c r="N14" s="9"/>
    </x:row>
    <x:row r="15" ht="24" customHeight="1">
      <x:c r="A15" s="10" t="n">
        <x:v>0.6</x:v>
      </x:c>
      <x:c r="B15" s="11" t="n">
        <x:f>'Digitized_points'!B7+(A15-'Digitized_points'!A7)*('Digitized_points'!B8-'Digitized_points'!B7)/('Digitized_points'!A8-'Digitized_points'!A7)</x:f>
        <x:v>0.13</x:v>
      </x:c>
      <x:c r="C15" s="11" t="n">
        <x:f>'Digitized_points'!C7+(A15-'Digitized_points'!A7)*('Digitized_points'!C8-'Digitized_points'!C7)/('Digitized_points'!A8-'Digitized_points'!A7)</x:f>
        <x:v>0.22799999999999998</x:v>
      </x:c>
      <x:c r="D15" s="11" t="n">
        <x:f>'Digitized_points'!D7+(A15-'Digitized_points'!A7)*('Digitized_points'!D8-'Digitized_points'!D7)/('Digitized_points'!A8-'Digitized_points'!A7)</x:f>
        <x:v>0.44999999999999996</x:v>
      </x:c>
      <x:c r="E15" s="11" t="n">
        <x:f>'Digitized_points'!E7+(A15-'Digitized_points'!A7)*('Digitized_points'!E8-'Digitized_points'!E7)/('Digitized_points'!A8-'Digitized_points'!A7)</x:f>
        <x:v>0.364</x:v>
      </x:c>
      <x:c r="F15" s="11" t="n">
        <x:f>'Digitized_points'!F7+(A15-'Digitized_points'!A7)*('Digitized_points'!F8-'Digitized_points'!F7)/('Digitized_points'!A8-'Digitized_points'!A7)</x:f>
        <x:v>0.538</x:v>
      </x:c>
      <x:c r="G15" s="9" t="str">
        <x:v>INTERPOLATED_NOT_MEASURED</x:v>
      </x:c>
      <x:c r="H15" s="9"/>
      <x:c r="I15" s="9"/>
      <x:c r="J15" s="9"/>
      <x:c r="K15" s="9"/>
      <x:c r="L15" s="9"/>
      <x:c r="M15" s="9"/>
      <x:c r="N15" s="9"/>
    </x:row>
    <x:row r="16" ht="24" customHeight="1">
      <x:c r="A16" s="10" t="n">
        <x:v>0.8</x:v>
      </x:c>
      <x:c r="B16" s="11" t="n">
        <x:f>'Digitized_points'!B7+(A16-'Digitized_points'!A7)*('Digitized_points'!B8-'Digitized_points'!B7)/('Digitized_points'!A8-'Digitized_points'!A7)</x:f>
        <x:v>0.19</x:v>
      </x:c>
      <x:c r="C16" s="11" t="n">
        <x:f>'Digitized_points'!C7+(A16-'Digitized_points'!A7)*('Digitized_points'!C8-'Digitized_points'!C7)/('Digitized_points'!A8-'Digitized_points'!A7)</x:f>
        <x:v>0.30400000000000005</x:v>
      </x:c>
      <x:c r="D16" s="11" t="n">
        <x:f>'Digitized_points'!D7+(A16-'Digitized_points'!A7)*('Digitized_points'!D8-'Digitized_points'!D7)/('Digitized_points'!A8-'Digitized_points'!A7)</x:f>
        <x:v>0.5900000000000001</x:v>
      </x:c>
      <x:c r="E16" s="11" t="n">
        <x:f>'Digitized_points'!E7+(A16-'Digitized_points'!A7)*('Digitized_points'!E8-'Digitized_points'!E7)/('Digitized_points'!A8-'Digitized_points'!A7)</x:f>
        <x:v>0.492</x:v>
      </x:c>
      <x:c r="F16" s="11" t="n">
        <x:f>'Digitized_points'!F7+(A16-'Digitized_points'!A7)*('Digitized_points'!F8-'Digitized_points'!F7)/('Digitized_points'!A8-'Digitized_points'!A7)</x:f>
        <x:v>0.7140000000000001</x:v>
      </x:c>
      <x:c r="G16" s="9" t="str">
        <x:v>INTERPOLATED_NOT_MEASURED</x:v>
      </x:c>
      <x:c r="H16" s="9"/>
      <x:c r="I16" s="9"/>
      <x:c r="J16" s="9"/>
      <x:c r="K16" s="9"/>
      <x:c r="L16" s="9"/>
      <x:c r="M16" s="9"/>
      <x:c r="N16" s="9"/>
    </x:row>
    <x:row r="17" ht="24" customHeight="1">
      <x:c r="A17" s="10" t="n">
        <x:v>1</x:v>
      </x:c>
      <x:c r="B17" s="11" t="n">
        <x:f>'Digitized_points'!B8</x:f>
        <x:v>0.25</x:v>
      </x:c>
      <x:c r="C17" s="11" t="n">
        <x:f>'Digitized_points'!C8</x:f>
        <x:v>0.38</x:v>
      </x:c>
      <x:c r="D17" s="11" t="n">
        <x:f>'Digitized_points'!D8</x:f>
        <x:v>0.73</x:v>
      </x:c>
      <x:c r="E17" s="11" t="n">
        <x:f>'Digitized_points'!E8</x:f>
        <x:v>0.62</x:v>
      </x:c>
      <x:c r="F17" s="11" t="n">
        <x:f>'Digitized_points'!F8</x:f>
        <x:v>0.89</x:v>
      </x:c>
      <x:c r="G17" s="9" t="str">
        <x:v>IMAGE_GRID_ANCHOR</x:v>
      </x:c>
      <x:c r="H17" s="9"/>
      <x:c r="I17" s="9"/>
      <x:c r="J17" s="9"/>
      <x:c r="K17" s="9"/>
      <x:c r="L17" s="9"/>
      <x:c r="M17" s="9"/>
      <x:c r="N17" s="9"/>
    </x:row>
    <x:row r="18" ht="24" customHeight="1">
      <x:c r="A18" s="10" t="n">
        <x:v>1.2</x:v>
      </x:c>
      <x:c r="B18" s="11" t="n">
        <x:f>'Digitized_points'!B8+(A18-'Digitized_points'!A8)*('Digitized_points'!B9-'Digitized_points'!B8)/('Digitized_points'!A9-'Digitized_points'!A8)</x:f>
        <x:v>0.294</x:v>
      </x:c>
      <x:c r="C18" s="11" t="n">
        <x:f>'Digitized_points'!C8+(A18-'Digitized_points'!A8)*('Digitized_points'!C9-'Digitized_points'!C8)/('Digitized_points'!A9-'Digitized_points'!A8)</x:f>
        <x:v>0.45599999999999996</x:v>
      </x:c>
      <x:c r="D18" s="11" t="n">
        <x:f>'Digitized_points'!D8+(A18-'Digitized_points'!A8)*('Digitized_points'!D9-'Digitized_points'!D8)/('Digitized_points'!A9-'Digitized_points'!A8)</x:f>
        <x:v>0.87</x:v>
      </x:c>
      <x:c r="E18" s="11" t="n">
        <x:f>'Digitized_points'!E8+(A18-'Digitized_points'!A8)*('Digitized_points'!E9-'Digitized_points'!E8)/('Digitized_points'!A9-'Digitized_points'!A8)</x:f>
        <x:v>0.74</x:v>
      </x:c>
      <x:c r="F18" s="11" t="n">
        <x:f>'Digitized_points'!F8+(A18-'Digitized_points'!A8)*('Digitized_points'!F9-'Digitized_points'!F8)/('Digitized_points'!A9-'Digitized_points'!A8)</x:f>
        <x:v>1.07</x:v>
      </x:c>
      <x:c r="G18" s="9" t="str">
        <x:v>INTERPOLATED_NOT_MEASURED</x:v>
      </x:c>
      <x:c r="H18" s="9"/>
      <x:c r="I18" s="9"/>
      <x:c r="J18" s="9"/>
      <x:c r="K18" s="9"/>
      <x:c r="L18" s="9"/>
      <x:c r="M18" s="9"/>
      <x:c r="N18" s="9"/>
    </x:row>
    <x:row r="19" ht="24" customHeight="1">
      <x:c r="A19" s="10" t="n">
        <x:v>1.4</x:v>
      </x:c>
      <x:c r="B19" s="11" t="n">
        <x:f>'Digitized_points'!B8+(A19-'Digitized_points'!A8)*('Digitized_points'!B9-'Digitized_points'!B8)/('Digitized_points'!A9-'Digitized_points'!A8)</x:f>
        <x:v>0.33799999999999997</x:v>
      </x:c>
      <x:c r="C19" s="11" t="n">
        <x:f>'Digitized_points'!C8+(A19-'Digitized_points'!A8)*('Digitized_points'!C9-'Digitized_points'!C8)/('Digitized_points'!A9-'Digitized_points'!A8)</x:f>
        <x:v>0.5319999999999999</x:v>
      </x:c>
      <x:c r="D19" s="11" t="n">
        <x:f>'Digitized_points'!D8+(A19-'Digitized_points'!A8)*('Digitized_points'!D9-'Digitized_points'!D8)/('Digitized_points'!A9-'Digitized_points'!A8)</x:f>
        <x:v>1.01</x:v>
      </x:c>
      <x:c r="E19" s="11" t="n">
        <x:f>'Digitized_points'!E8+(A19-'Digitized_points'!A8)*('Digitized_points'!E9-'Digitized_points'!E8)/('Digitized_points'!A9-'Digitized_points'!A8)</x:f>
        <x:v>0.86</x:v>
      </x:c>
      <x:c r="F19" s="11" t="n">
        <x:f>'Digitized_points'!F8+(A19-'Digitized_points'!A8)*('Digitized_points'!F9-'Digitized_points'!F8)/('Digitized_points'!A9-'Digitized_points'!A8)</x:f>
        <x:v>1.25</x:v>
      </x:c>
      <x:c r="G19" s="9" t="str">
        <x:v>INTERPOLATED_NOT_MEASURED</x:v>
      </x:c>
      <x:c r="H19" s="9"/>
      <x:c r="I19" s="9"/>
      <x:c r="J19" s="9"/>
      <x:c r="K19" s="9"/>
      <x:c r="L19" s="9"/>
      <x:c r="M19" s="9"/>
      <x:c r="N19" s="9"/>
    </x:row>
    <x:row r="20" ht="24" customHeight="1">
      <x:c r="A20" s="10" t="n">
        <x:v>1.6</x:v>
      </x:c>
      <x:c r="B20" s="11" t="n">
        <x:f>'Digitized_points'!B9+(A20-'Digitized_points'!A9)*('Digitized_points'!B10-'Digitized_points'!B9)/('Digitized_points'!A10-'Digitized_points'!A9)</x:f>
        <x:v>0.386</x:v>
      </x:c>
      <x:c r="C20" s="11" t="n">
        <x:f>'Digitized_points'!C9+(A20-'Digitized_points'!A9)*('Digitized_points'!C10-'Digitized_points'!C9)/('Digitized_points'!A10-'Digitized_points'!A9)</x:f>
        <x:v>0.606</x:v>
      </x:c>
      <x:c r="D20" s="11" t="n">
        <x:f>'Digitized_points'!D9+(A20-'Digitized_points'!A9)*('Digitized_points'!D10-'Digitized_points'!D9)/('Digitized_points'!A10-'Digitized_points'!A9)</x:f>
        <x:v>1.1460000000000001</x:v>
      </x:c>
      <x:c r="E20" s="11" t="n">
        <x:f>'Digitized_points'!E9+(A20-'Digitized_points'!A9)*('Digitized_points'!E10-'Digitized_points'!E9)/('Digitized_points'!A10-'Digitized_points'!A9)</x:f>
        <x:v>0.9780000000000001</x:v>
      </x:c>
      <x:c r="F20" s="11" t="n">
        <x:f>'Digitized_points'!F9+(A20-'Digitized_points'!A9)*('Digitized_points'!F10-'Digitized_points'!F9)/('Digitized_points'!A10-'Digitized_points'!A9)</x:f>
        <x:v>1.4260000000000002</x:v>
      </x:c>
      <x:c r="G20" s="9" t="str">
        <x:v>INTERPOLATED_NOT_MEASURED</x:v>
      </x:c>
      <x:c r="H20" s="9"/>
      <x:c r="I20" s="9"/>
      <x:c r="J20" s="9"/>
      <x:c r="K20" s="9"/>
      <x:c r="L20" s="9"/>
      <x:c r="M20" s="9"/>
      <x:c r="N20" s="9"/>
    </x:row>
    <x:row r="21" ht="24" customHeight="1">
      <x:c r="A21" s="10" t="n">
        <x:v>1.8</x:v>
      </x:c>
      <x:c r="B21" s="11" t="n">
        <x:f>'Digitized_points'!B9+(A21-'Digitized_points'!A9)*('Digitized_points'!B10-'Digitized_points'!B9)/('Digitized_points'!A10-'Digitized_points'!A9)</x:f>
        <x:v>0.438</x:v>
      </x:c>
      <x:c r="C21" s="11" t="n">
        <x:f>'Digitized_points'!C9+(A21-'Digitized_points'!A9)*('Digitized_points'!C10-'Digitized_points'!C9)/('Digitized_points'!A10-'Digitized_points'!A9)</x:f>
        <x:v>0.6779999999999999</x:v>
      </x:c>
      <x:c r="D21" s="11" t="n">
        <x:f>'Digitized_points'!D9+(A21-'Digitized_points'!A9)*('Digitized_points'!D10-'Digitized_points'!D9)/('Digitized_points'!A10-'Digitized_points'!A9)</x:f>
        <x:v>1.278</x:v>
      </x:c>
      <x:c r="E21" s="11" t="n">
        <x:f>'Digitized_points'!E9+(A21-'Digitized_points'!A9)*('Digitized_points'!E10-'Digitized_points'!E9)/('Digitized_points'!A10-'Digitized_points'!A9)</x:f>
        <x:v>1.094</x:v>
      </x:c>
      <x:c r="F21" s="11" t="n">
        <x:f>'Digitized_points'!F9+(A21-'Digitized_points'!A9)*('Digitized_points'!F10-'Digitized_points'!F9)/('Digitized_points'!A10-'Digitized_points'!A9)</x:f>
        <x:v>1.598</x:v>
      </x:c>
      <x:c r="G21" s="9" t="str">
        <x:v>INTERPOLATED_NOT_MEASURED</x:v>
      </x:c>
      <x:c r="H21" s="9"/>
      <x:c r="I21" s="9"/>
      <x:c r="J21" s="9"/>
      <x:c r="K21" s="9"/>
      <x:c r="L21" s="9"/>
      <x:c r="M21" s="9"/>
      <x:c r="N21" s="9"/>
    </x:row>
    <x:row r="22" ht="24" customHeight="1">
      <x:c r="A22" s="10" t="n">
        <x:v>2</x:v>
      </x:c>
      <x:c r="B22" s="11" t="n">
        <x:f>'Digitized_points'!B10</x:f>
        <x:v>0.49</x:v>
      </x:c>
      <x:c r="C22" s="11" t="n">
        <x:f>'Digitized_points'!C10</x:f>
        <x:v>0.75</x:v>
      </x:c>
      <x:c r="D22" s="11" t="n">
        <x:f>'Digitized_points'!D10</x:f>
        <x:v>1.41</x:v>
      </x:c>
      <x:c r="E22" s="11" t="n">
        <x:f>'Digitized_points'!E10</x:f>
        <x:v>1.21</x:v>
      </x:c>
      <x:c r="F22" s="11" t="n">
        <x:f>'Digitized_points'!F10</x:f>
        <x:v>1.77</x:v>
      </x:c>
      <x:c r="G22" s="9" t="str">
        <x:v>IMAGE_GRID_ANCHOR</x:v>
      </x:c>
      <x:c r="H22" s="9"/>
      <x:c r="I22" s="9"/>
      <x:c r="J22" s="9"/>
      <x:c r="K22" s="9"/>
      <x:c r="L22" s="9"/>
      <x:c r="M22" s="9"/>
      <x:c r="N22" s="9"/>
    </x:row>
    <x:row r="23" ht="24" customHeight="1">
      <x:c r="A23" s="10"/>
      <x:c r="B23" s="11"/>
      <x:c r="C23" s="11"/>
      <x:c r="D23" s="11"/>
      <x:c r="E23" s="11"/>
      <x:c r="F23" s="11"/>
      <x:c r="G23" s="9"/>
      <x:c r="H23" s="9"/>
      <x:c r="I23" s="9"/>
      <x:c r="J23" s="9"/>
      <x:c r="K23" s="9"/>
      <x:c r="L23" s="9"/>
      <x:c r="M23" s="9"/>
      <x:c r="N23" s="9"/>
    </x:row>
    <x:row r="24" ht="24" customHeight="1">
      <x:c r="A24" s="10"/>
      <x:c r="B24" s="11"/>
      <x:c r="C24" s="11"/>
      <x:c r="D24" s="11"/>
      <x:c r="E24" s="11"/>
      <x:c r="F24" s="11"/>
      <x:c r="G24" s="9"/>
      <x:c r="H24" s="9"/>
      <x:c r="I24" s="9"/>
      <x:c r="J24" s="9"/>
      <x:c r="K24" s="9"/>
      <x:c r="L24" s="9"/>
      <x:c r="M24" s="9"/>
      <x:c r="N24" s="9"/>
    </x:row>
    <x:row r="25" ht="24" customHeight="1">
      <x:c r="A25" s="10"/>
      <x:c r="B25" s="11"/>
      <x:c r="C25" s="11"/>
      <x:c r="D25" s="11"/>
      <x:c r="E25" s="11"/>
      <x:c r="F25" s="11"/>
      <x:c r="G25" s="9"/>
      <x:c r="H25" s="9"/>
      <x:c r="I25" s="9"/>
      <x:c r="J25" s="9"/>
      <x:c r="K25" s="9"/>
      <x:c r="L25" s="9"/>
      <x:c r="M25" s="9"/>
      <x:c r="N25" s="9"/>
    </x:row>
    <x:row r="26" ht="24" customHeight="1">
      <x:c r="A26" s="10"/>
      <x:c r="B26" s="11"/>
      <x:c r="C26" s="11"/>
      <x:c r="D26" s="11"/>
      <x:c r="E26" s="11"/>
      <x:c r="F26" s="11"/>
      <x:c r="G26" s="9"/>
      <x:c r="H26" s="9"/>
      <x:c r="I26" s="9"/>
      <x:c r="J26" s="9"/>
      <x:c r="K26" s="9"/>
      <x:c r="L26" s="9"/>
      <x:c r="M26" s="9"/>
      <x:c r="N26" s="9"/>
    </x:row>
    <x:row r="27" ht="24" customHeight="1">
      <x:c r="A27" s="10"/>
      <x:c r="B27" s="11"/>
      <x:c r="C27" s="11"/>
      <x:c r="D27" s="11"/>
      <x:c r="E27" s="11"/>
      <x:c r="F27" s="11"/>
      <x:c r="G27" s="9"/>
      <x:c r="H27" s="9"/>
      <x:c r="I27" s="9"/>
      <x:c r="J27" s="9"/>
      <x:c r="K27" s="9"/>
      <x:c r="L27" s="9"/>
      <x:c r="M27" s="9"/>
      <x:c r="N27" s="9"/>
    </x:row>
    <x:row r="28" ht="24" customHeight="1">
      <x:c r="A28" s="10"/>
      <x:c r="B28" s="11"/>
      <x:c r="C28" s="11"/>
      <x:c r="D28" s="11"/>
      <x:c r="E28" s="11"/>
      <x:c r="F28" s="11"/>
      <x:c r="G28" s="9"/>
      <x:c r="H28" s="9"/>
      <x:c r="I28" s="9"/>
      <x:c r="J28" s="9"/>
      <x:c r="K28" s="9"/>
      <x:c r="L28" s="9"/>
      <x:c r="M28" s="9"/>
      <x:c r="N28" s="9"/>
    </x:row>
    <x:row r="29" ht="24" customHeight="1">
      <x:c r="A29" s="10"/>
      <x:c r="B29" s="11"/>
      <x:c r="C29" s="11"/>
      <x:c r="D29" s="11"/>
      <x:c r="E29" s="11"/>
      <x:c r="F29" s="11"/>
      <x:c r="G29" s="9"/>
      <x:c r="H29" s="9"/>
      <x:c r="I29" s="9"/>
      <x:c r="J29" s="9"/>
      <x:c r="K29" s="9"/>
      <x:c r="L29" s="9"/>
      <x:c r="M29" s="9"/>
      <x:c r="N29" s="9"/>
    </x:row>
    <x:row r="30" ht="24" customHeight="1">
      <x:c r="A30" s="10"/>
      <x:c r="B30" s="11"/>
      <x:c r="C30" s="11"/>
      <x:c r="D30" s="11"/>
      <x:c r="E30" s="11"/>
      <x:c r="F30" s="11"/>
      <x:c r="G30" s="9"/>
      <x:c r="H30" s="9"/>
      <x:c r="I30" s="9"/>
      <x:c r="J30" s="9"/>
      <x:c r="K30" s="9"/>
      <x:c r="L30" s="9"/>
      <x:c r="M30" s="9"/>
      <x:c r="N30" s="9"/>
    </x:row>
    <x:row r="31" ht="24" customHeight="1">
      <x:c r="A31" s="10"/>
      <x:c r="B31" s="11"/>
      <x:c r="C31" s="11"/>
      <x:c r="D31" s="11"/>
      <x:c r="E31" s="11"/>
      <x:c r="F31" s="11"/>
      <x:c r="G31" s="9"/>
      <x:c r="H31" s="9"/>
      <x:c r="I31" s="9"/>
      <x:c r="J31" s="9"/>
      <x:c r="K31" s="9"/>
      <x:c r="L31" s="9"/>
      <x:c r="M31" s="9"/>
      <x:c r="N31" s="9"/>
    </x:row>
    <x:row r="32" ht="24" customHeight="1">
      <x:c r="A32" s="10"/>
      <x:c r="B32" s="11"/>
      <x:c r="C32" s="11"/>
      <x:c r="D32" s="11"/>
      <x:c r="E32" s="11"/>
      <x:c r="F32" s="11"/>
      <x:c r="G32" s="9"/>
      <x:c r="H32" s="9"/>
      <x:c r="I32" s="9"/>
      <x:c r="J32" s="9"/>
      <x:c r="K32" s="9"/>
      <x:c r="L32" s="9"/>
      <x:c r="M32" s="9"/>
      <x:c r="N32" s="9"/>
    </x:row>
    <x:row r="33" ht="24" customHeight="1">
      <x:c r="A33" s="10"/>
      <x:c r="B33" s="11"/>
      <x:c r="C33" s="11"/>
      <x:c r="D33" s="11"/>
      <x:c r="E33" s="11"/>
      <x:c r="F33" s="11"/>
      <x:c r="G33" s="9"/>
      <x:c r="H33" s="9"/>
      <x:c r="I33" s="9"/>
      <x:c r="J33" s="9"/>
      <x:c r="K33" s="9"/>
      <x:c r="L33" s="9"/>
      <x:c r="M33" s="9"/>
      <x:c r="N33" s="9"/>
    </x:row>
    <x:row r="34" ht="24" customHeight="1">
      <x:c r="A34" s="10"/>
      <x:c r="B34" s="11"/>
      <x:c r="C34" s="11"/>
      <x:c r="D34" s="11"/>
      <x:c r="E34" s="11"/>
      <x:c r="F34" s="11"/>
      <x:c r="G34" s="9"/>
      <x:c r="H34" s="9"/>
      <x:c r="I34" s="9"/>
      <x:c r="J34" s="9"/>
      <x:c r="K34" s="9"/>
      <x:c r="L34" s="9"/>
      <x:c r="M34" s="9"/>
      <x:c r="N34" s="9"/>
    </x:row>
    <x:row r="35" ht="24" customHeight="1">
      <x:c r="A35" s="10"/>
      <x:c r="B35" s="11"/>
      <x:c r="C35" s="11"/>
      <x:c r="D35" s="11"/>
      <x:c r="E35" s="11"/>
      <x:c r="F35" s="11"/>
      <x:c r="G35" s="9"/>
      <x:c r="H35" s="9"/>
      <x:c r="I35" s="9"/>
      <x:c r="J35" s="9"/>
      <x:c r="K35" s="9"/>
      <x:c r="L35" s="9"/>
      <x:c r="M35" s="9"/>
      <x:c r="N35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1.800000190734863" hidden="0" customWidth="1"/>
    <x:col min="3" max="3" width="11.800000190734863" hidden="0" customWidth="1"/>
    <x:col min="4" max="4" width="11.800000190734863" hidden="0" customWidth="1"/>
    <x:col min="5" max="5" width="11.800000190734863" hidden="0" customWidth="1"/>
    <x:col min="6" max="6" width="11.800000190734863" hidden="0" customWidth="1"/>
    <x:col min="7" max="7" width="25.600000381469727" hidden="0" customWidth="1"/>
    <x:col min="8" max="8" width="2" hidden="0" customWidth="1"/>
    <x:col min="9" max="9" width="16.600000381469727" hidden="0" customWidth="1"/>
    <x:col min="10" max="10" width="46" hidden="0" customWidth="1"/>
  </x:cols>
  <x:sheetData>
    <x:row r="1" ht="29" customHeight="1">
      <x:c r="A1" s="5" t="str">
        <x:v>Voltage_V</x:v>
      </x:c>
      <x:c r="B1" s="5" t="str">
        <x:v>I_0kPa_mA</x:v>
      </x:c>
      <x:c r="C1" s="5" t="str">
        <x:v>I_20kPa_mA</x:v>
      </x:c>
      <x:c r="D1" s="5" t="str">
        <x:v>I_40kPa_mA</x:v>
      </x:c>
      <x:c r="E1" s="5" t="str">
        <x:v>I_50kPa_mA</x:v>
      </x:c>
      <x:c r="F1" s="5" t="str">
        <x:v>I_60kPa_mA</x:v>
      </x:c>
      <x:c r="G1" s="5" t="str">
        <x:v>Point_kind</x:v>
      </x:c>
      <x:c r="H1" s="9"/>
      <x:c r="I1" s="19" t="str">
        <x:v>Source context</x:v>
      </x:c>
      <x:c r="J1" s="19" t="str">
        <x:v>Value</x:v>
      </x:c>
      <x:c r="K1" s="9"/>
      <x:c r="L1" s="9"/>
      <x:c r="M1" s="9"/>
      <x:c r="N1" s="9"/>
    </x:row>
    <x:row r="2" ht="24" customHeight="1">
      <x:c r="A2" s="20" t="n">
        <x:v>-2</x:v>
      </x:c>
      <x:c r="B2" s="21" t="n">
        <x:v>-0.48</x:v>
      </x:c>
      <x:c r="C2" s="21" t="n">
        <x:v>-0.71</x:v>
      </x:c>
      <x:c r="D2" s="21" t="n">
        <x:v>-1.2</x:v>
      </x:c>
      <x:c r="E2" s="21" t="n">
        <x:v>-1.47</x:v>
      </x:c>
      <x:c r="F2" s="21" t="n">
        <x:v>-1.77</x:v>
      </x:c>
      <x:c r="G2" s="22" t="str">
        <x:v>IMAGE_ESTIMATE</x:v>
      </x:c>
      <x:c r="H2" s="9"/>
      <x:c r="I2" s="9" t="str">
        <x:v>Source</x:v>
      </x:c>
      <x:c r="J2" s="17" t="str">
        <x:v>Manuscript1.docx, Figure 2(b); same I–V plot as the supplied screenshot.</x:v>
      </x:c>
      <x:c r="K2" s="9"/>
      <x:c r="L2" s="9"/>
      <x:c r="M2" s="9"/>
      <x:c r="N2" s="9"/>
    </x:row>
    <x:row r="3" ht="24" customHeight="1">
      <x:c r="A3" s="20" t="n">
        <x:v>-1.5</x:v>
      </x:c>
      <x:c r="B3" s="21" t="n">
        <x:v>-0.36</x:v>
      </x:c>
      <x:c r="C3" s="21" t="n">
        <x:v>-0.54</x:v>
      </x:c>
      <x:c r="D3" s="21" t="n">
        <x:v>-0.89</x:v>
      </x:c>
      <x:c r="E3" s="21" t="n">
        <x:v>-1.11</x:v>
      </x:c>
      <x:c r="F3" s="21" t="n">
        <x:v>-1.32</x:v>
      </x:c>
      <x:c r="G3" s="22" t="str">
        <x:v>IMAGE_ESTIMATE</x:v>
      </x:c>
      <x:c r="H3" s="9"/>
      <x:c r="I3" s="9" t="str">
        <x:v>Data type</x:v>
      </x:c>
      <x:c r="J3" s="17" t="str">
        <x:v>Image-estimated visible markers; NOT the instrument raw data.</x:v>
      </x:c>
      <x:c r="K3" s="9"/>
      <x:c r="L3" s="9"/>
      <x:c r="M3" s="9"/>
      <x:c r="N3" s="9"/>
    </x:row>
    <x:row r="4" ht="24" customHeight="1">
      <x:c r="A4" s="20" t="n">
        <x:v>-1</x:v>
      </x:c>
      <x:c r="B4" s="21" t="n">
        <x:v>-0.23</x:v>
      </x:c>
      <x:c r="C4" s="21" t="n">
        <x:v>-0.36</x:v>
      </x:c>
      <x:c r="D4" s="21" t="n">
        <x:v>-0.6</x:v>
      </x:c>
      <x:c r="E4" s="21" t="n">
        <x:v>-0.73</x:v>
      </x:c>
      <x:c r="F4" s="21" t="n">
        <x:v>-0.88</x:v>
      </x:c>
      <x:c r="G4" s="22" t="str">
        <x:v>IMAGE_ESTIMATE</x:v>
      </x:c>
      <x:c r="H4" s="9"/>
      <x:c r="I4" s="9" t="str">
        <x:v>Visible points</x:v>
      </x:c>
      <x:c r="J4" s="17" t="str">
        <x:v>9 points per curve, 45 image estimates across 5 pressure curves.</x:v>
      </x:c>
      <x:c r="K4" s="9"/>
      <x:c r="L4" s="9"/>
      <x:c r="M4" s="9"/>
      <x:c r="N4" s="9"/>
    </x:row>
    <x:row r="5" ht="24" customHeight="1">
      <x:c r="A5" s="20" t="n">
        <x:v>-0.5</x:v>
      </x:c>
      <x:c r="B5" s="21" t="n">
        <x:v>-0.09</x:v>
      </x:c>
      <x:c r="C5" s="21" t="n">
        <x:v>-0.16</x:v>
      </x:c>
      <x:c r="D5" s="21" t="n">
        <x:v>-0.27</x:v>
      </x:c>
      <x:c r="E5" s="21" t="n">
        <x:v>-0.35</x:v>
      </x:c>
      <x:c r="F5" s="21" t="n">
        <x:v>-0.43</x:v>
      </x:c>
      <x:c r="G5" s="22" t="str">
        <x:v>IMAGE_ESTIMATE</x:v>
      </x:c>
      <x:c r="H5" s="9"/>
      <x:c r="I5" s="9" t="str">
        <x:v>Readout precision</x:v>
      </x:c>
      <x:c r="J5" s="17" t="str">
        <x:v>Approx. ±0.03–0.04 mA from image resolution; not measurement error.</x:v>
      </x:c>
      <x:c r="K5" s="9"/>
      <x:c r="L5" s="9"/>
      <x:c r="M5" s="9"/>
      <x:c r="N5" s="9"/>
    </x:row>
    <x:row r="6" ht="24" customHeight="1">
      <x:c r="A6" s="20" t="n">
        <x:v>0</x:v>
      </x:c>
      <x:c r="B6" s="21" t="n">
        <x:v>0</x:v>
      </x:c>
      <x:c r="C6" s="21" t="n">
        <x:v>0</x:v>
      </x:c>
      <x:c r="D6" s="21" t="n">
        <x:v>0</x:v>
      </x:c>
      <x:c r="E6" s="21" t="n">
        <x:v>0</x:v>
      </x:c>
      <x:c r="F6" s="21" t="n">
        <x:v>0</x:v>
      </x:c>
      <x:c r="G6" s="22" t="str">
        <x:v>SHARED_ORIGIN_ESTIMATE</x:v>
      </x:c>
      <x:c r="H6" s="9"/>
      <x:c r="I6" s="9" t="str">
        <x:v>Shared origin</x:v>
      </x:c>
      <x:c r="J6" s="17" t="str">
        <x:v>The five series overlap at the origin; 0 V / 0 mA is a plotted-crossing estimate.</x:v>
      </x:c>
      <x:c r="K6" s="9"/>
      <x:c r="L6" s="9"/>
      <x:c r="M6" s="9"/>
      <x:c r="N6" s="9"/>
    </x:row>
    <x:row r="7" ht="24" customHeight="1">
      <x:c r="A7" s="20" t="n">
        <x:v>0.5</x:v>
      </x:c>
      <x:c r="B7" s="21" t="n">
        <x:v>0.1</x:v>
      </x:c>
      <x:c r="C7" s="21" t="n">
        <x:v>0.19</x:v>
      </x:c>
      <x:c r="D7" s="21" t="n">
        <x:v>0.38</x:v>
      </x:c>
      <x:c r="E7" s="21" t="n">
        <x:v>0.3</x:v>
      </x:c>
      <x:c r="F7" s="21" t="n">
        <x:v>0.45</x:v>
      </x:c>
      <x:c r="G7" s="22" t="str">
        <x:v>IMAGE_ESTIMATE</x:v>
      </x:c>
      <x:c r="H7" s="9"/>
      <x:c r="I7" s="9"/>
      <x:c r="J7" s="9"/>
      <x:c r="K7" s="9"/>
      <x:c r="L7" s="9"/>
      <x:c r="M7" s="9"/>
      <x:c r="N7" s="9"/>
    </x:row>
    <x:row r="8" ht="24" customHeight="1">
      <x:c r="A8" s="20" t="n">
        <x:v>1</x:v>
      </x:c>
      <x:c r="B8" s="21" t="n">
        <x:v>0.25</x:v>
      </x:c>
      <x:c r="C8" s="21" t="n">
        <x:v>0.38</x:v>
      </x:c>
      <x:c r="D8" s="21" t="n">
        <x:v>0.73</x:v>
      </x:c>
      <x:c r="E8" s="21" t="n">
        <x:v>0.62</x:v>
      </x:c>
      <x:c r="F8" s="21" t="n">
        <x:v>0.89</x:v>
      </x:c>
      <x:c r="G8" s="22" t="str">
        <x:v>IMAGE_ESTIMATE</x:v>
      </x:c>
      <x:c r="H8" s="9"/>
      <x:c r="I8" s="9"/>
      <x:c r="J8" s="9"/>
      <x:c r="K8" s="9"/>
      <x:c r="L8" s="9"/>
      <x:c r="M8" s="9"/>
      <x:c r="N8" s="9"/>
    </x:row>
    <x:row r="9" ht="24" customHeight="1">
      <x:c r="A9" s="20" t="n">
        <x:v>1.5</x:v>
      </x:c>
      <x:c r="B9" s="21" t="n">
        <x:v>0.36</x:v>
      </x:c>
      <x:c r="C9" s="21" t="n">
        <x:v>0.57</x:v>
      </x:c>
      <x:c r="D9" s="21" t="n">
        <x:v>1.08</x:v>
      </x:c>
      <x:c r="E9" s="21" t="n">
        <x:v>0.92</x:v>
      </x:c>
      <x:c r="F9" s="21" t="n">
        <x:v>1.34</x:v>
      </x:c>
      <x:c r="G9" s="22" t="str">
        <x:v>IMAGE_ESTIMATE</x:v>
      </x:c>
      <x:c r="H9" s="9"/>
      <x:c r="I9" s="9"/>
      <x:c r="J9" s="9"/>
      <x:c r="K9" s="9"/>
      <x:c r="L9" s="9"/>
      <x:c r="M9" s="9"/>
      <x:c r="N9" s="9"/>
    </x:row>
    <x:row r="10" ht="24" customHeight="1">
      <x:c r="A10" s="20" t="n">
        <x:v>2</x:v>
      </x:c>
      <x:c r="B10" s="21" t="n">
        <x:v>0.49</x:v>
      </x:c>
      <x:c r="C10" s="21" t="n">
        <x:v>0.75</x:v>
      </x:c>
      <x:c r="D10" s="21" t="n">
        <x:v>1.41</x:v>
      </x:c>
      <x:c r="E10" s="21" t="n">
        <x:v>1.21</x:v>
      </x:c>
      <x:c r="F10" s="21" t="n">
        <x:v>1.77</x:v>
      </x:c>
      <x:c r="G10" s="22" t="str">
        <x:v>IMAGE_ESTIMATE</x:v>
      </x:c>
      <x:c r="H10" s="9"/>
      <x:c r="I10" s="9"/>
      <x:c r="J10" s="9"/>
      <x:c r="K10" s="9"/>
      <x:c r="L10" s="9"/>
      <x:c r="M10" s="9"/>
      <x:c r="N10" s="9"/>
    </x:row>
    <x:row r="11" ht="24" customHeight="1">
      <x:c r="A11" s="10"/>
      <x:c r="B11" s="11"/>
      <x:c r="C11" s="11"/>
      <x:c r="D11" s="11"/>
      <x:c r="E11" s="11"/>
      <x:c r="F11" s="11"/>
      <x:c r="G11" s="9"/>
      <x:c r="H11" s="9"/>
      <x:c r="I11" s="9"/>
      <x:c r="J11" s="9"/>
      <x:c r="K11" s="9"/>
      <x:c r="L11" s="9"/>
      <x:c r="M11" s="9"/>
      <x:c r="N11" s="9"/>
    </x:row>
    <x:row r="12" ht="24" customHeight="1">
      <x:c r="A12" s="10"/>
      <x:c r="B12" s="11"/>
      <x:c r="C12" s="11"/>
      <x:c r="D12" s="11"/>
      <x:c r="E12" s="11"/>
      <x:c r="F12" s="11"/>
      <x:c r="G12" s="9"/>
      <x:c r="H12" s="9"/>
      <x:c r="I12" s="9"/>
      <x:c r="J12" s="9"/>
      <x:c r="K12" s="9"/>
      <x:c r="L12" s="9"/>
      <x:c r="M12" s="9"/>
      <x:c r="N12" s="9"/>
    </x:row>
    <x:row r="13" ht="24" customHeight="1">
      <x:c r="A13" s="10"/>
      <x:c r="B13" s="11"/>
      <x:c r="C13" s="11"/>
      <x:c r="D13" s="11"/>
      <x:c r="E13" s="11"/>
      <x:c r="F13" s="11"/>
      <x:c r="G13" s="9"/>
      <x:c r="H13" s="9"/>
      <x:c r="I13" s="9"/>
      <x:c r="J13" s="9"/>
      <x:c r="K13" s="9"/>
      <x:c r="L13" s="9"/>
      <x:c r="M13" s="9"/>
      <x:c r="N13" s="9"/>
    </x:row>
    <x:row r="14" ht="24" customHeight="1">
      <x:c r="A14" s="10"/>
      <x:c r="B14" s="11"/>
      <x:c r="C14" s="11"/>
      <x:c r="D14" s="11"/>
      <x:c r="E14" s="11"/>
      <x:c r="F14" s="11"/>
      <x:c r="G14" s="9"/>
      <x:c r="H14" s="9"/>
      <x:c r="I14" s="9"/>
      <x:c r="J14" s="9"/>
      <x:c r="K14" s="9"/>
      <x:c r="L14" s="9"/>
      <x:c r="M14" s="9"/>
      <x:c r="N14" s="9"/>
    </x:row>
    <x:row r="15" ht="24" customHeight="1">
      <x:c r="A15" s="10"/>
      <x:c r="B15" s="11"/>
      <x:c r="C15" s="11"/>
      <x:c r="D15" s="11"/>
      <x:c r="E15" s="11"/>
      <x:c r="F15" s="11"/>
      <x:c r="G15" s="9"/>
      <x:c r="H15" s="9"/>
      <x:c r="I15" s="9"/>
      <x:c r="J15" s="9"/>
      <x:c r="K15" s="9"/>
      <x:c r="L15" s="9"/>
      <x:c r="M15" s="9"/>
      <x:c r="N15" s="9"/>
    </x:row>
    <x:row r="16" ht="24" customHeight="1">
      <x:c r="A16" s="10"/>
      <x:c r="B16" s="11"/>
      <x:c r="C16" s="11"/>
      <x:c r="D16" s="11"/>
      <x:c r="E16" s="11"/>
      <x:c r="F16" s="11"/>
      <x:c r="G16" s="9"/>
      <x:c r="H16" s="9"/>
      <x:c r="I16" s="9"/>
      <x:c r="J16" s="9"/>
      <x:c r="K16" s="9"/>
      <x:c r="L16" s="9"/>
      <x:c r="M16" s="9"/>
      <x:c r="N16" s="9"/>
    </x:row>
    <x:row r="17" ht="24" customHeight="1">
      <x:c r="A17" s="10"/>
      <x:c r="B17" s="11"/>
      <x:c r="C17" s="11"/>
      <x:c r="D17" s="11"/>
      <x:c r="E17" s="11"/>
      <x:c r="F17" s="11"/>
      <x:c r="G17" s="9"/>
      <x:c r="H17" s="9"/>
      <x:c r="I17" s="9"/>
      <x:c r="J17" s="9"/>
      <x:c r="K17" s="9"/>
      <x:c r="L17" s="9"/>
      <x:c r="M17" s="9"/>
      <x:c r="N17" s="9"/>
    </x:row>
    <x:row r="18" ht="24" customHeight="1">
      <x:c r="A18" s="10"/>
      <x:c r="B18" s="11"/>
      <x:c r="C18" s="11"/>
      <x:c r="D18" s="11"/>
      <x:c r="E18" s="11"/>
      <x:c r="F18" s="11"/>
      <x:c r="G18" s="9"/>
      <x:c r="H18" s="9"/>
      <x:c r="I18" s="9"/>
      <x:c r="J18" s="9"/>
      <x:c r="K18" s="9"/>
      <x:c r="L18" s="9"/>
      <x:c r="M18" s="9"/>
      <x:c r="N18" s="9"/>
    </x:row>
    <x:row r="19" ht="24" customHeight="1">
      <x:c r="A19" s="10"/>
      <x:c r="B19" s="11"/>
      <x:c r="C19" s="11"/>
      <x:c r="D19" s="11"/>
      <x:c r="E19" s="11"/>
      <x:c r="F19" s="11"/>
      <x:c r="G19" s="9"/>
      <x:c r="H19" s="9"/>
      <x:c r="I19" s="9"/>
      <x:c r="J19" s="9"/>
      <x:c r="K19" s="9"/>
      <x:c r="L19" s="9"/>
      <x:c r="M19" s="9"/>
      <x:c r="N19" s="9"/>
    </x:row>
    <x:row r="20" ht="24" customHeight="1">
      <x:c r="A20" s="10"/>
      <x:c r="B20" s="11"/>
      <x:c r="C20" s="11"/>
      <x:c r="D20" s="11"/>
      <x:c r="E20" s="11"/>
      <x:c r="F20" s="11"/>
      <x:c r="G20" s="9"/>
      <x:c r="H20" s="9"/>
      <x:c r="I20" s="9"/>
      <x:c r="J20" s="9"/>
      <x:c r="K20" s="9"/>
      <x:c r="L20" s="9"/>
      <x:c r="M20" s="9"/>
      <x:c r="N20" s="9"/>
    </x:row>
    <x:row r="21" ht="24" customHeight="1">
      <x:c r="A21" s="10"/>
      <x:c r="B21" s="11"/>
      <x:c r="C21" s="11"/>
      <x:c r="D21" s="11"/>
      <x:c r="E21" s="11"/>
      <x:c r="F21" s="11"/>
      <x:c r="G21" s="9"/>
      <x:c r="H21" s="9"/>
      <x:c r="I21" s="9"/>
      <x:c r="J21" s="9"/>
      <x:c r="K21" s="9"/>
      <x:c r="L21" s="9"/>
      <x:c r="M21" s="9"/>
      <x:c r="N21" s="9"/>
    </x:row>
    <x:row r="22" ht="24" customHeight="1">
      <x:c r="A22" s="10"/>
      <x:c r="B22" s="11"/>
      <x:c r="C22" s="11"/>
      <x:c r="D22" s="11"/>
      <x:c r="E22" s="11"/>
      <x:c r="F22" s="11"/>
      <x:c r="G22" s="9"/>
      <x:c r="H22" s="9"/>
      <x:c r="I22" s="9"/>
      <x:c r="J22" s="9"/>
      <x:c r="K22" s="9"/>
      <x:c r="L22" s="9"/>
      <x:c r="M22" s="9"/>
      <x:c r="N22" s="9"/>
    </x:row>
    <x:row r="23" ht="24" customHeight="1">
      <x:c r="A23" s="10"/>
      <x:c r="B23" s="11"/>
      <x:c r="C23" s="11"/>
      <x:c r="D23" s="11"/>
      <x:c r="E23" s="11"/>
      <x:c r="F23" s="11"/>
      <x:c r="G23" s="9"/>
      <x:c r="H23" s="9"/>
      <x:c r="I23" s="9"/>
      <x:c r="J23" s="9"/>
      <x:c r="K23" s="9"/>
      <x:c r="L23" s="9"/>
      <x:c r="M23" s="9"/>
      <x:c r="N23" s="9"/>
    </x:row>
    <x:row r="24" ht="24" customHeight="1">
      <x:c r="A24" s="10"/>
      <x:c r="B24" s="11"/>
      <x:c r="C24" s="11"/>
      <x:c r="D24" s="11"/>
      <x:c r="E24" s="11"/>
      <x:c r="F24" s="11"/>
      <x:c r="G24" s="9"/>
      <x:c r="H24" s="9"/>
      <x:c r="I24" s="9"/>
      <x:c r="J24" s="9"/>
      <x:c r="K24" s="9"/>
      <x:c r="L24" s="9"/>
      <x:c r="M24" s="9"/>
      <x:c r="N24" s="9"/>
    </x:row>
    <x:row r="25" ht="24" customHeight="1">
      <x:c r="A25" s="10"/>
      <x:c r="B25" s="11"/>
      <x:c r="C25" s="11"/>
      <x:c r="D25" s="11"/>
      <x:c r="E25" s="11"/>
      <x:c r="F25" s="11"/>
      <x:c r="G25" s="9"/>
      <x:c r="H25" s="9"/>
      <x:c r="I25" s="9"/>
      <x:c r="J25" s="9"/>
      <x:c r="K25" s="9"/>
      <x:c r="L25" s="9"/>
      <x:c r="M25" s="9"/>
      <x:c r="N25" s="9"/>
    </x:row>
    <x:row r="26" ht="24" customHeight="1">
      <x:c r="A26" s="10"/>
      <x:c r="B26" s="11"/>
      <x:c r="C26" s="11"/>
      <x:c r="D26" s="11"/>
      <x:c r="E26" s="11"/>
      <x:c r="F26" s="11"/>
      <x:c r="G26" s="9"/>
      <x:c r="H26" s="9"/>
      <x:c r="I26" s="9"/>
      <x:c r="J26" s="9"/>
      <x:c r="K26" s="9"/>
      <x:c r="L26" s="9"/>
      <x:c r="M26" s="9"/>
      <x:c r="N26" s="9"/>
    </x:row>
    <x:row r="27" ht="24" customHeight="1">
      <x:c r="A27" s="10"/>
      <x:c r="B27" s="11"/>
      <x:c r="C27" s="11"/>
      <x:c r="D27" s="11"/>
      <x:c r="E27" s="11"/>
      <x:c r="F27" s="11"/>
      <x:c r="G27" s="9"/>
      <x:c r="H27" s="9"/>
      <x:c r="I27" s="9"/>
      <x:c r="J27" s="9"/>
      <x:c r="K27" s="9"/>
      <x:c r="L27" s="9"/>
      <x:c r="M27" s="9"/>
      <x:c r="N27" s="9"/>
    </x:row>
    <x:row r="28" ht="24" customHeight="1">
      <x:c r="A28" s="10"/>
      <x:c r="B28" s="11"/>
      <x:c r="C28" s="11"/>
      <x:c r="D28" s="11"/>
      <x:c r="E28" s="11"/>
      <x:c r="F28" s="11"/>
      <x:c r="G28" s="9"/>
      <x:c r="H28" s="9"/>
      <x:c r="I28" s="9"/>
      <x:c r="J28" s="9"/>
      <x:c r="K28" s="9"/>
      <x:c r="L28" s="9"/>
      <x:c r="M28" s="9"/>
      <x:c r="N28" s="9"/>
    </x:row>
    <x:row r="29" ht="24" customHeight="1">
      <x:c r="A29" s="10"/>
      <x:c r="B29" s="11"/>
      <x:c r="C29" s="11"/>
      <x:c r="D29" s="11"/>
      <x:c r="E29" s="11"/>
      <x:c r="F29" s="11"/>
      <x:c r="G29" s="9"/>
      <x:c r="H29" s="9"/>
      <x:c r="I29" s="9"/>
      <x:c r="J29" s="9"/>
      <x:c r="K29" s="9"/>
      <x:c r="L29" s="9"/>
      <x:c r="M29" s="9"/>
      <x:c r="N29" s="9"/>
    </x:row>
    <x:row r="30" ht="24" customHeight="1">
      <x:c r="A30" s="10"/>
      <x:c r="B30" s="11"/>
      <x:c r="C30" s="11"/>
      <x:c r="D30" s="11"/>
      <x:c r="E30" s="11"/>
      <x:c r="F30" s="11"/>
      <x:c r="G30" s="9"/>
      <x:c r="H30" s="9"/>
      <x:c r="I30" s="9"/>
      <x:c r="J30" s="9"/>
      <x:c r="K30" s="9"/>
      <x:c r="L30" s="9"/>
      <x:c r="M30" s="9"/>
      <x:c r="N30" s="9"/>
    </x:row>
    <x:row r="31" ht="24" customHeight="1">
      <x:c r="A31" s="10"/>
      <x:c r="B31" s="11"/>
      <x:c r="C31" s="11"/>
      <x:c r="D31" s="11"/>
      <x:c r="E31" s="11"/>
      <x:c r="F31" s="11"/>
      <x:c r="G31" s="9"/>
      <x:c r="H31" s="9"/>
      <x:c r="I31" s="9"/>
      <x:c r="J31" s="9"/>
      <x:c r="K31" s="9"/>
      <x:c r="L31" s="9"/>
      <x:c r="M31" s="9"/>
      <x:c r="N31" s="9"/>
    </x:row>
    <x:row r="32" ht="24" customHeight="1">
      <x:c r="A32" s="10"/>
      <x:c r="B32" s="11"/>
      <x:c r="C32" s="11"/>
      <x:c r="D32" s="11"/>
      <x:c r="E32" s="11"/>
      <x:c r="F32" s="11"/>
      <x:c r="G32" s="9"/>
      <x:c r="H32" s="9"/>
      <x:c r="I32" s="9"/>
      <x:c r="J32" s="9"/>
      <x:c r="K32" s="9"/>
      <x:c r="L32" s="9"/>
      <x:c r="M32" s="9"/>
      <x:c r="N32" s="9"/>
    </x:row>
    <x:row r="33" ht="24" customHeight="1">
      <x:c r="A33" s="10"/>
      <x:c r="B33" s="11"/>
      <x:c r="C33" s="11"/>
      <x:c r="D33" s="11"/>
      <x:c r="E33" s="11"/>
      <x:c r="F33" s="11"/>
      <x:c r="G33" s="9"/>
      <x:c r="H33" s="9"/>
      <x:c r="I33" s="9"/>
      <x:c r="J33" s="9"/>
      <x:c r="K33" s="9"/>
      <x:c r="L33" s="9"/>
      <x:c r="M33" s="9"/>
      <x:c r="N33" s="9"/>
    </x:row>
    <x:row r="34" ht="24" customHeight="1">
      <x:c r="A34" s="10"/>
      <x:c r="B34" s="11"/>
      <x:c r="C34" s="11"/>
      <x:c r="D34" s="11"/>
      <x:c r="E34" s="11"/>
      <x:c r="F34" s="11"/>
      <x:c r="G34" s="9"/>
      <x:c r="H34" s="9"/>
      <x:c r="I34" s="9"/>
      <x:c r="J34" s="9"/>
      <x:c r="K34" s="9"/>
      <x:c r="L34" s="9"/>
      <x:c r="M34" s="9"/>
      <x:c r="N34" s="9"/>
    </x:row>
    <x:row r="35" ht="24" customHeight="1">
      <x:c r="A35" s="10"/>
      <x:c r="B35" s="11"/>
      <x:c r="C35" s="11"/>
      <x:c r="D35" s="11"/>
      <x:c r="E35" s="11"/>
      <x:c r="F35" s="11"/>
      <x:c r="G35" s="9"/>
      <x:c r="H35" s="9"/>
      <x:c r="I35" s="9"/>
      <x:c r="J35" s="9"/>
      <x:c r="K35" s="9"/>
      <x:c r="L35" s="9"/>
      <x:c r="M35" s="9"/>
      <x:c r="N35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43D2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1.800000190734863" hidden="0" customWidth="1"/>
    <x:col min="3" max="3" width="11.800000190734863" hidden="0" customWidth="1"/>
    <x:col min="4" max="4" width="11.800000190734863" hidden="0" customWidth="1"/>
    <x:col min="5" max="5" width="11.800000190734863" hidden="0" customWidth="1"/>
    <x:col min="6" max="6" width="11.800000190734863" hidden="0" customWidth="1"/>
    <x:col min="7" max="7" width="25.600000381469727" hidden="0" customWidth="1"/>
    <x:col min="8" max="8" width="2" hidden="0" customWidth="1"/>
    <x:col min="9" max="9" width="16.600000381469727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9" customHeight="1">
      <x:c r="A1" s="15" t="str">
        <x:v>Voltage_V</x:v>
      </x:c>
      <x:c r="B1" s="15" t="str">
        <x:v>I_0kPa_mA</x:v>
      </x:c>
      <x:c r="C1" s="15" t="str">
        <x:v>I_20kPa_mA</x:v>
      </x:c>
      <x:c r="D1" s="15" t="str">
        <x:v>I_40kPa_mA</x:v>
      </x:c>
      <x:c r="E1" s="15" t="str">
        <x:v>I_50kPa_mA</x:v>
      </x:c>
      <x:c r="F1" s="15" t="str">
        <x:v>I_60kPa_mA</x:v>
      </x:c>
      <x:c r="G1" s="15" t="str">
        <x:v>Point_kind</x:v>
      </x:c>
      <x:c r="H1" s="9"/>
      <x:c r="I1" s="24" t="str">
        <x:v>Simulation inputs</x:v>
      </x:c>
      <x:c r="J1" s="25" t="str">
        <x:v>Value</x:v>
      </x:c>
      <x:c r="K1" s="9"/>
      <x:c r="L1" s="9"/>
      <x:c r="M1" s="9"/>
      <x:c r="N1" s="9"/>
    </x:row>
    <x:row r="2" ht="44" customHeight="1">
      <x:c r="A2" s="10" t="n">
        <x:f>'Interpolated_0p2V'!A2</x:f>
        <x:v>-2</x:v>
      </x:c>
      <x:c r="B2" s="11" t="n">
        <x:f>'Interpolated_0p2V'!B2+J14</x:f>
        <x:v>-0.48</x:v>
      </x:c>
      <x:c r="C2" s="11" t="n">
        <x:f>'Interpolated_0p2V'!C2+K14</x:f>
        <x:v>-0.71</x:v>
      </x:c>
      <x:c r="D2" s="11" t="n">
        <x:f>'Interpolated_0p2V'!D2+L14</x:f>
        <x:v>-1.2</x:v>
      </x:c>
      <x:c r="E2" s="11" t="n">
        <x:f>'Interpolated_0p2V'!E2+M14</x:f>
        <x:v>-1.47</x:v>
      </x:c>
      <x:c r="F2" s="11" t="n">
        <x:f>'Interpolated_0p2V'!F2+N14</x:f>
        <x:v>-1.77</x:v>
      </x:c>
      <x:c r="G2" s="9" t="str">
        <x:v>SIMULATED_NOT_MEASURED</x:v>
      </x:c>
      <x:c r="H2" s="9"/>
      <x:c r="I2" s="9" t="str">
        <x:v>Data type</x:v>
      </x:c>
      <x:c r="J2" s="17" t="str">
        <x:v>SIMULATED, not measured.</x:v>
      </x:c>
      <x:c r="K2" s="9"/>
      <x:c r="L2" s="9"/>
      <x:c r="M2" s="9"/>
      <x:c r="N2" s="9"/>
    </x:row>
    <x:row r="3" ht="44" customHeight="1">
      <x:c r="A3" s="10" t="n">
        <x:f>'Interpolated_0p2V'!A3</x:f>
        <x:v>-1.8</x:v>
      </x:c>
      <x:c r="B3" s="11" t="n">
        <x:f>'Interpolated_0p2V'!B3+J15</x:f>
        <x:v>-0.42903430225622646</x:v>
      </x:c>
      <x:c r="C3" s="11" t="n">
        <x:f>'Interpolated_0p2V'!C3+K15</x:f>
        <x:v>-0.6363204817907571</x:v>
      </x:c>
      <x:c r="D3" s="11" t="n">
        <x:f>'Interpolated_0p2V'!D3+L15</x:f>
        <x:v>-1.0983546681419707</x:v>
      </x:c>
      <x:c r="E3" s="11" t="n">
        <x:f>'Interpolated_0p2V'!E3+M15</x:f>
        <x:v>-1.3034359598111553</x:v>
      </x:c>
      <x:c r="F3" s="11" t="n">
        <x:f>'Interpolated_0p2V'!F3+N15</x:f>
        <x:v>-1.5735428252383798</x:v>
      </x:c>
      <x:c r="G3" s="9" t="str">
        <x:v>SIMULATED_NOT_MEASURED</x:v>
      </x:c>
      <x:c r="H3" s="9"/>
      <x:c r="I3" s="9" t="str">
        <x:v>Base</x:v>
      </x:c>
      <x:c r="J3" s="17" t="str">
        <x:v>Interpolated estimates.</x:v>
      </x:c>
      <x:c r="K3" s="9"/>
      <x:c r="L3" s="9"/>
      <x:c r="M3" s="9"/>
      <x:c r="N3" s="9"/>
    </x:row>
    <x:row r="4" ht="44" customHeight="1">
      <x:c r="A4" s="10" t="n">
        <x:f>'Interpolated_0p2V'!A4</x:f>
        <x:v>-1.6</x:v>
      </x:c>
      <x:c r="B4" s="11" t="n">
        <x:f>'Interpolated_0p2V'!B4+J16</x:f>
        <x:v>-0.3967032218062089</x:v>
      </x:c>
      <x:c r="C4" s="11" t="n">
        <x:f>'Interpolated_0p2V'!C4+K16</x:f>
        <x:v>-0.5865647597430168</x:v>
      </x:c>
      <x:c r="D4" s="11" t="n">
        <x:f>'Interpolated_0p2V'!D4+L16</x:f>
        <x:v>-0.9337060870859082</x:v>
      </x:c>
      <x:c r="E4" s="11" t="n">
        <x:f>'Interpolated_0p2V'!E4+M16</x:f>
        <x:v>-1.208536914379844</x:v>
      </x:c>
      <x:c r="F4" s="11" t="n">
        <x:f>'Interpolated_0p2V'!F4+N16</x:f>
        <x:v>-1.4111824996035625</x:v>
      </x:c>
      <x:c r="G4" s="9" t="str">
        <x:v>SIMULATED_NOT_MEASURED</x:v>
      </x:c>
      <x:c r="H4" s="9"/>
      <x:c r="I4" s="9" t="str">
        <x:v>Noise assumption</x:v>
      </x:c>
      <x:c r="J4" s="17" t="str">
        <x:v>sigma 0.02 mA; clip ±0.04.</x:v>
      </x:c>
      <x:c r="K4" s="9"/>
      <x:c r="L4" s="9"/>
      <x:c r="M4" s="9"/>
      <x:c r="N4" s="9"/>
    </x:row>
    <x:row r="5" ht="44" customHeight="1">
      <x:c r="A5" s="10" t="n">
        <x:f>'Interpolated_0p2V'!A5</x:f>
        <x:v>-1.4</x:v>
      </x:c>
      <x:c r="B5" s="11" t="n">
        <x:f>'Interpolated_0p2V'!B5+J17</x:f>
        <x:v>-0.3168424740574334</x:v>
      </x:c>
      <x:c r="C5" s="11" t="n">
        <x:f>'Interpolated_0p2V'!C5+K17</x:f>
        <x:v>-0.4791428285202291</x:v>
      </x:c>
      <x:c r="D5" s="11" t="n">
        <x:f>'Interpolated_0p2V'!D5+L17</x:f>
        <x:v>-0.8413191578804958</x:v>
      </x:c>
      <x:c r="E5" s="11" t="n">
        <x:f>'Interpolated_0p2V'!E5+M17</x:f>
        <x:v>-1.0668403662406623</x:v>
      </x:c>
      <x:c r="F5" s="11" t="n">
        <x:f>'Interpolated_0p2V'!F5+N17</x:f>
        <x:v>-1.2215062731406598</x:v>
      </x:c>
      <x:c r="G5" s="9" t="str">
        <x:v>SIMULATED_NOT_MEASURED</x:v>
      </x:c>
      <x:c r="H5" s="9"/>
      <x:c r="I5" s="9" t="str">
        <x:v>Random seed</x:v>
      </x:c>
      <x:c r="J5" s="17" t="n">
        <x:v>20261013</x:v>
      </x:c>
      <x:c r="K5" s="9"/>
      <x:c r="L5" s="9"/>
      <x:c r="M5" s="9"/>
      <x:c r="N5" s="9"/>
    </x:row>
    <x:row r="6" ht="44" customHeight="1">
      <x:c r="A6" s="10" t="n">
        <x:f>'Interpolated_0p2V'!A6</x:f>
        <x:v>-1.2</x:v>
      </x:c>
      <x:c r="B6" s="11" t="n">
        <x:f>'Interpolated_0p2V'!B6+J18</x:f>
        <x:v>-0.28570866946321727</x:v>
      </x:c>
      <x:c r="C6" s="11" t="n">
        <x:f>'Interpolated_0p2V'!C6+K18</x:f>
        <x:v>-0.4150983712415197</x:v>
      </x:c>
      <x:c r="D6" s="11" t="n">
        <x:f>'Interpolated_0p2V'!D6+L18</x:f>
        <x:v>-0.7051292297749947</x:v>
      </x:c>
      <x:c r="E6" s="11" t="n">
        <x:f>'Interpolated_0p2V'!E6+M18</x:f>
        <x:v>-0.9057117147337824</x:v>
      </x:c>
      <x:c r="F6" s="11" t="n">
        <x:f>'Interpolated_0p2V'!F6+N18</x:f>
        <x:v>-1.0514210631218452</x:v>
      </x:c>
      <x:c r="G6" s="9" t="str">
        <x:v>SIMULATED_NOT_MEASURED</x:v>
      </x:c>
      <x:c r="H6" s="9"/>
      <x:c r="I6" s="9" t="str">
        <x:v>Anchors</x:v>
      </x:c>
      <x:c r="J6" s="17" t="str">
        <x:v>Shared anchors unchanged.</x:v>
      </x:c>
      <x:c r="K6" s="9"/>
      <x:c r="L6" s="9"/>
      <x:c r="M6" s="9"/>
      <x:c r="N6" s="9"/>
    </x:row>
    <x:row r="7" ht="44" customHeight="1">
      <x:c r="A7" s="10" t="n">
        <x:f>'Interpolated_0p2V'!A7</x:f>
        <x:v>-1</x:v>
      </x:c>
      <x:c r="B7" s="11" t="n">
        <x:f>'Interpolated_0p2V'!B7+J19</x:f>
        <x:v>-0.23</x:v>
      </x:c>
      <x:c r="C7" s="11" t="n">
        <x:f>'Interpolated_0p2V'!C7+K19</x:f>
        <x:v>-0.36</x:v>
      </x:c>
      <x:c r="D7" s="11" t="n">
        <x:f>'Interpolated_0p2V'!D7+L19</x:f>
        <x:v>-0.6</x:v>
      </x:c>
      <x:c r="E7" s="11" t="n">
        <x:f>'Interpolated_0p2V'!E7+M19</x:f>
        <x:v>-0.73</x:v>
      </x:c>
      <x:c r="F7" s="11" t="n">
        <x:f>'Interpolated_0p2V'!F7+N19</x:f>
        <x:v>-0.88</x:v>
      </x:c>
      <x:c r="G7" s="9" t="str">
        <x:v>SIMULATED_NOT_MEASURED</x:v>
      </x:c>
      <x:c r="H7" s="9"/>
      <x:c r="I7" s="9" t="str">
        <x:v>Uncertainty</x:v>
      </x:c>
      <x:c r="J7" s="17" t="str">
        <x:v>Assumed noise, not experimental error.</x:v>
      </x:c>
      <x:c r="K7" s="9"/>
      <x:c r="L7" s="9"/>
      <x:c r="M7" s="9"/>
      <x:c r="N7" s="9"/>
    </x:row>
    <x:row r="8" ht="44" customHeight="1">
      <x:c r="A8" s="10" t="n">
        <x:f>'Interpolated_0p2V'!A8</x:f>
        <x:v>-0.8</x:v>
      </x:c>
      <x:c r="B8" s="11" t="n">
        <x:f>'Interpolated_0p2V'!B8+J20</x:f>
        <x:v>-0.20083760750135113</x:v>
      </x:c>
      <x:c r="C8" s="11" t="n">
        <x:f>'Interpolated_0p2V'!C8+K20</x:f>
        <x:v>-0.27418051069757093</x:v>
      </x:c>
      <x:c r="D8" s="11" t="n">
        <x:f>'Interpolated_0p2V'!D8+L20</x:f>
        <x:v>-0.4851478173841305</x:v>
      </x:c>
      <x:c r="E8" s="11" t="n">
        <x:f>'Interpolated_0p2V'!E8+M20</x:f>
        <x:v>-0.5648692873823659</x:v>
      </x:c>
      <x:c r="F8" s="11" t="n">
        <x:f>'Interpolated_0p2V'!F8+N20</x:f>
        <x:v>-0.7076722385470591</x:v>
      </x:c>
      <x:c r="G8" s="9" t="str">
        <x:v>SIMULATED_NOT_MEASURED</x:v>
      </x:c>
      <x:c r="H8" s="9"/>
      <x:c r="I8" s="9" t="str">
        <x:v>Editable noise</x:v>
      </x:c>
      <x:c r="J8" s="17" t="str">
        <x:v>Noise inputs below; fixed seed.</x:v>
      </x:c>
      <x:c r="K8" s="9"/>
      <x:c r="L8" s="9"/>
      <x:c r="M8" s="9"/>
      <x:c r="N8" s="9"/>
    </x:row>
    <x:row r="9" ht="24" customHeight="1">
      <x:c r="A9" s="10" t="n">
        <x:f>'Interpolated_0p2V'!A9</x:f>
        <x:v>-0.6</x:v>
      </x:c>
      <x:c r="B9" s="11" t="n">
        <x:f>'Interpolated_0p2V'!B9+J21</x:f>
        <x:v>-0.09634365056055695</x:v>
      </x:c>
      <x:c r="C9" s="11" t="n">
        <x:f>'Interpolated_0p2V'!C9+K21</x:f>
        <x:v>-0.18219978297233022</x:v>
      </x:c>
      <x:c r="D9" s="11" t="n">
        <x:f>'Interpolated_0p2V'!D9+L21</x:f>
        <x:v>-0.32347949424046935</x:v>
      </x:c>
      <x:c r="E9" s="11" t="n">
        <x:f>'Interpolated_0p2V'!E9+M21</x:f>
        <x:v>-0.43173030523223455</x:v>
      </x:c>
      <x:c r="F9" s="11" t="n">
        <x:f>'Interpolated_0p2V'!F9+N21</x:f>
        <x:v>-0.4820051021593256</x:v>
      </x:c>
      <x:c r="G9" s="9" t="str">
        <x:v>SIMULATED_NOT_MEASURED</x:v>
      </x:c>
      <x:c r="H9" s="9"/>
      <x:c r="I9" s="9"/>
      <x:c r="J9" s="9"/>
      <x:c r="K9" s="9"/>
      <x:c r="L9" s="9"/>
      <x:c r="M9" s="9"/>
      <x:c r="N9" s="9"/>
    </x:row>
    <x:row r="10" ht="24" customHeight="1">
      <x:c r="A10" s="10" t="n">
        <x:f>'Interpolated_0p2V'!A10</x:f>
        <x:v>-0.4</x:v>
      </x:c>
      <x:c r="B10" s="11" t="n">
        <x:f>'Interpolated_0p2V'!B10+J22</x:f>
        <x:v>-0.053151100745279456</x:v>
      </x:c>
      <x:c r="C10" s="11" t="n">
        <x:f>'Interpolated_0p2V'!C10+K22</x:f>
        <x:v>-0.12104497990027299</x:v>
      </x:c>
      <x:c r="D10" s="11" t="n">
        <x:f>'Interpolated_0p2V'!D10+L22</x:f>
        <x:v>-0.22368427035572286</x:v>
      </x:c>
      <x:c r="E10" s="11" t="n">
        <x:f>'Interpolated_0p2V'!E10+M22</x:f>
        <x:v>-0.2571274416149556</x:v>
      </x:c>
      <x:c r="F10" s="11" t="n">
        <x:f>'Interpolated_0p2V'!F10+N22</x:f>
        <x:v>-0.34342068044074997</x:v>
      </x:c>
      <x:c r="G10" s="9" t="str">
        <x:v>SIMULATED_NOT_MEASURED</x:v>
      </x:c>
      <x:c r="H10" s="9"/>
      <x:c r="I10" s="9"/>
      <x:c r="J10" s="9"/>
      <x:c r="K10" s="9"/>
      <x:c r="L10" s="9"/>
      <x:c r="M10" s="9"/>
      <x:c r="N10" s="9"/>
    </x:row>
    <x:row r="11" ht="24" customHeight="1">
      <x:c r="A11" s="10" t="n">
        <x:f>'Interpolated_0p2V'!A11</x:f>
        <x:v>-0.2</x:v>
      </x:c>
      <x:c r="B11" s="11" t="n">
        <x:f>'Interpolated_0p2V'!B11+J23</x:f>
        <x:v>-0.0335438982658828</x:v>
      </x:c>
      <x:c r="C11" s="11" t="n">
        <x:f>'Interpolated_0p2V'!C11+K23</x:f>
        <x:v>-0.04472305628560046</x:v>
      </x:c>
      <x:c r="D11" s="11" t="n">
        <x:f>'Interpolated_0p2V'!D11+L23</x:f>
        <x:v>-0.0901794606102086</x:v>
      </x:c>
      <x:c r="E11" s="11" t="n">
        <x:f>'Interpolated_0p2V'!E11+M23</x:f>
        <x:v>-0.09999999999999998</x:v>
      </x:c>
      <x:c r="F11" s="11" t="n">
        <x:f>'Interpolated_0p2V'!F11+N23</x:f>
        <x:v>-0.16859422997403656</x:v>
      </x:c>
      <x:c r="G11" s="9" t="str">
        <x:v>SIMULATED_NOT_MEASURED</x:v>
      </x:c>
      <x:c r="H11" s="9"/>
      <x:c r="I11" s="9"/>
      <x:c r="J11" s="9"/>
      <x:c r="K11" s="9"/>
      <x:c r="L11" s="9"/>
      <x:c r="M11" s="9"/>
      <x:c r="N11" s="9"/>
    </x:row>
    <x:row r="12" ht="24" customHeight="1">
      <x:c r="A12" s="10" t="n">
        <x:f>'Interpolated_0p2V'!A12</x:f>
        <x:v>0</x:v>
      </x:c>
      <x:c r="B12" s="11" t="n">
        <x:f>'Interpolated_0p2V'!B12+J24</x:f>
        <x:v>0</x:v>
      </x:c>
      <x:c r="C12" s="11" t="n">
        <x:f>'Interpolated_0p2V'!C12+K24</x:f>
        <x:v>0</x:v>
      </x:c>
      <x:c r="D12" s="11" t="n">
        <x:f>'Interpolated_0p2V'!D12+L24</x:f>
        <x:v>0</x:v>
      </x:c>
      <x:c r="E12" s="11" t="n">
        <x:f>'Interpolated_0p2V'!E12+M24</x:f>
        <x:v>0</x:v>
      </x:c>
      <x:c r="F12" s="11" t="n">
        <x:f>'Interpolated_0p2V'!F12+N24</x:f>
        <x:v>0</x:v>
      </x:c>
      <x:c r="G12" s="9" t="str">
        <x:v>SIMULATED_NOT_MEASURED</x:v>
      </x:c>
      <x:c r="H12" s="9"/>
      <x:c r="I12" s="9"/>
      <x:c r="J12" s="9"/>
      <x:c r="K12" s="9"/>
      <x:c r="L12" s="9"/>
      <x:c r="M12" s="9"/>
      <x:c r="N12" s="9"/>
    </x:row>
    <x:row r="13" ht="38" customHeight="1">
      <x:c r="A13" s="10" t="n">
        <x:f>'Interpolated_0p2V'!A13</x:f>
        <x:v>0.2</x:v>
      </x:c>
      <x:c r="B13" s="11" t="n">
        <x:f>'Interpolated_0p2V'!B13+J25</x:f>
        <x:v>0.043857885105025224</x:v>
      </x:c>
      <x:c r="C13" s="11" t="n">
        <x:f>'Interpolated_0p2V'!C13+K25</x:f>
        <x:v>0.09020836934231823</x:v>
      </x:c>
      <x:c r="D13" s="11" t="n">
        <x:f>'Interpolated_0p2V'!D13+L25</x:f>
        <x:v>0.14020001434091042</x:v>
      </x:c>
      <x:c r="E13" s="11" t="n">
        <x:f>'Interpolated_0p2V'!E13+M25</x:f>
        <x:v>0.13739997600903686</x:v>
      </x:c>
      <x:c r="F13" s="11" t="n">
        <x:f>'Interpolated_0p2V'!F13+N25</x:f>
        <x:v>0.1839122322248579</x:v>
      </x:c>
      <x:c r="G13" s="9" t="str">
        <x:v>SIMULATED_NOT_MEASURED</x:v>
      </x:c>
      <x:c r="H13" s="9"/>
      <x:c r="I13" s="25" t="str">
        <x:v>Voltage_V</x:v>
      </x:c>
      <x:c r="J13" s="25" t="str">
        <x:v>Noise_0kPa_mA</x:v>
      </x:c>
      <x:c r="K13" s="25" t="str">
        <x:v>Noise_20kPa_mA</x:v>
      </x:c>
      <x:c r="L13" s="25" t="str">
        <x:v>Noise_40kPa_mA</x:v>
      </x:c>
      <x:c r="M13" s="25" t="str">
        <x:v>Noise_50kPa_mA</x:v>
      </x:c>
      <x:c r="N13" s="25" t="str">
        <x:v>Noise_60kPa_mA</x:v>
      </x:c>
    </x:row>
    <x:row r="14" ht="24" customHeight="1">
      <x:c r="A14" s="10" t="n">
        <x:f>'Interpolated_0p2V'!A14</x:f>
        <x:v>0.4</x:v>
      </x:c>
      <x:c r="B14" s="11" t="n">
        <x:f>'Interpolated_0p2V'!B14+J26</x:f>
        <x:v>0.08615506573991985</x:v>
      </x:c>
      <x:c r="C14" s="11" t="n">
        <x:f>'Interpolated_0p2V'!C14+K26</x:f>
        <x:v>0.161011341381313</x:v>
      </x:c>
      <x:c r="D14" s="11" t="n">
        <x:f>'Interpolated_0p2V'!D14+L26</x:f>
        <x:v>0.2989582371633261</x:v>
      </x:c>
      <x:c r="E14" s="11" t="n">
        <x:f>'Interpolated_0p2V'!E14+M26</x:f>
        <x:v>0.2104859322715532</x:v>
      </x:c>
      <x:c r="F14" s="11" t="n">
        <x:f>'Interpolated_0p2V'!F14+N26</x:f>
        <x:v>0.34933613919296214</x:v>
      </x:c>
      <x:c r="G14" s="9" t="str">
        <x:v>SIMULATED_NOT_MEASURED</x:v>
      </x:c>
      <x:c r="H14" s="9"/>
      <x:c r="I14" s="26" t="n">
        <x:v>-2</x:v>
      </x:c>
      <x:c r="J14" s="26" t="n">
        <x:v>0</x:v>
      </x:c>
      <x:c r="K14" s="26" t="n">
        <x:v>0</x:v>
      </x:c>
      <x:c r="L14" s="26" t="n">
        <x:v>0</x:v>
      </x:c>
      <x:c r="M14" s="26" t="n">
        <x:v>0</x:v>
      </x:c>
      <x:c r="N14" s="26" t="n">
        <x:v>0</x:v>
      </x:c>
    </x:row>
    <x:row r="15" ht="24" customHeight="1">
      <x:c r="A15" s="10" t="n">
        <x:f>'Interpolated_0p2V'!A15</x:f>
        <x:v>0.6</x:v>
      </x:c>
      <x:c r="B15" s="11" t="n">
        <x:f>'Interpolated_0p2V'!B15+J27</x:f>
        <x:v>0.16666774611375504</x:v>
      </x:c>
      <x:c r="C15" s="11" t="n">
        <x:f>'Interpolated_0p2V'!C15+K27</x:f>
        <x:v>0.24583893800435486</x:v>
      </x:c>
      <x:c r="D15" s="11" t="n">
        <x:f>'Interpolated_0p2V'!D15+L27</x:f>
        <x:v>0.4420144938074081</x:v>
      </x:c>
      <x:c r="E15" s="11" t="n">
        <x:f>'Interpolated_0p2V'!E15+M27</x:f>
        <x:v>0.342569496266351</x:v>
      </x:c>
      <x:c r="F15" s="11" t="n">
        <x:f>'Interpolated_0p2V'!F15+N27</x:f>
        <x:v>0.550516161319233</x:v>
      </x:c>
      <x:c r="G15" s="9" t="str">
        <x:v>SIMULATED_NOT_MEASURED</x:v>
      </x:c>
      <x:c r="H15" s="9"/>
      <x:c r="I15" s="26" t="n">
        <x:v>-1.8</x:v>
      </x:c>
      <x:c r="J15" s="26" t="n">
        <x:v>0.0029656977437735404</x:v>
      </x:c>
      <x:c r="K15" s="26" t="n">
        <x:v>0.005679518209242974</x:v>
      </x:c>
      <x:c r="L15" s="26" t="n">
        <x:v>-0.022354668141970555</x:v>
      </x:c>
      <x:c r="M15" s="26" t="n">
        <x:v>0.02256404018884473</x:v>
      </x:c>
      <x:c r="N15" s="26" t="n">
        <x:v>0.016457174761620303</x:v>
      </x:c>
    </x:row>
    <x:row r="16" ht="24" customHeight="1">
      <x:c r="A16" s="10" t="n">
        <x:f>'Interpolated_0p2V'!A16</x:f>
        <x:v>0.8</x:v>
      </x:c>
      <x:c r="B16" s="11" t="n">
        <x:f>'Interpolated_0p2V'!B16+J28</x:f>
        <x:v>0.21095472476612415</x:v>
      </x:c>
      <x:c r="C16" s="11" t="n">
        <x:f>'Interpolated_0p2V'!C16+K28</x:f>
        <x:v>0.3277703939823073</x:v>
      </x:c>
      <x:c r="D16" s="11" t="n">
        <x:f>'Interpolated_0p2V'!D16+L28</x:f>
        <x:v>0.5807431969336422</x:v>
      </x:c>
      <x:c r="E16" s="11" t="n">
        <x:f>'Interpolated_0p2V'!E16+M28</x:f>
        <x:v>0.49766932956122656</x:v>
      </x:c>
      <x:c r="F16" s="11" t="n">
        <x:f>'Interpolated_0p2V'!F16+N28</x:f>
        <x:v>0.7110024655534726</x:v>
      </x:c>
      <x:c r="G16" s="9" t="str">
        <x:v>SIMULATED_NOT_MEASURED</x:v>
      </x:c>
      <x:c r="H16" s="9"/>
      <x:c r="I16" s="26" t="n">
        <x:v>-1.6</x:v>
      </x:c>
      <x:c r="J16" s="26" t="n">
        <x:v>-0.012703221806208925</x:v>
      </x:c>
      <x:c r="K16" s="26" t="n">
        <x:v>-0.012564759743016731</x:v>
      </x:c>
      <x:c r="L16" s="26" t="n">
        <x:v>0.0182939129140919</x:v>
      </x:c>
      <x:c r="M16" s="26" t="n">
        <x:v>-0.026536914379843658</x:v>
      </x:c>
      <x:c r="N16" s="26" t="n">
        <x:v>-0.001182499603562252</x:v>
      </x:c>
    </x:row>
    <x:row r="17" ht="24" customHeight="1">
      <x:c r="A17" s="10" t="n">
        <x:f>'Interpolated_0p2V'!A17</x:f>
        <x:v>1</x:v>
      </x:c>
      <x:c r="B17" s="11" t="n">
        <x:f>'Interpolated_0p2V'!B17+J29</x:f>
        <x:v>0.25</x:v>
      </x:c>
      <x:c r="C17" s="11" t="n">
        <x:f>'Interpolated_0p2V'!C17+K29</x:f>
        <x:v>0.38</x:v>
      </x:c>
      <x:c r="D17" s="11" t="n">
        <x:f>'Interpolated_0p2V'!D17+L29</x:f>
        <x:v>0.73</x:v>
      </x:c>
      <x:c r="E17" s="11" t="n">
        <x:f>'Interpolated_0p2V'!E17+M29</x:f>
        <x:v>0.62</x:v>
      </x:c>
      <x:c r="F17" s="11" t="n">
        <x:f>'Interpolated_0p2V'!F17+N29</x:f>
        <x:v>0.89</x:v>
      </x:c>
      <x:c r="G17" s="9" t="str">
        <x:v>SIMULATED_NOT_MEASURED</x:v>
      </x:c>
      <x:c r="H17" s="9"/>
      <x:c r="I17" s="26" t="n">
        <x:v>-1.4</x:v>
      </x:c>
      <x:c r="J17" s="26" t="n">
        <x:v>0.017157525942566598</x:v>
      </x:c>
      <x:c r="K17" s="26" t="n">
        <x:v>0.0248571714797709</x:v>
      </x:c>
      <x:c r="L17" s="26" t="n">
        <x:v>-0.009319157880495876</x:v>
      </x:c>
      <x:c r="M17" s="26" t="n">
        <x:v>-0.03284036624066222</x:v>
      </x:c>
      <x:c r="N17" s="26" t="n">
        <x:v>0.01049372685934016</x:v>
      </x:c>
    </x:row>
    <x:row r="18" ht="24" customHeight="1">
      <x:c r="A18" s="10" t="n">
        <x:f>'Interpolated_0p2V'!A18</x:f>
        <x:v>1.2</x:v>
      </x:c>
      <x:c r="B18" s="11" t="n">
        <x:f>'Interpolated_0p2V'!B18+J30</x:f>
        <x:v>0.26228117073683926</x:v>
      </x:c>
      <x:c r="C18" s="11" t="n">
        <x:f>'Interpolated_0p2V'!C18+K30</x:f>
        <x:v>0.42476429815983685</x:v>
      </x:c>
      <x:c r="D18" s="11" t="n">
        <x:f>'Interpolated_0p2V'!D18+L30</x:f>
        <x:v>0.8492602028375134</x:v>
      </x:c>
      <x:c r="E18" s="11" t="n">
        <x:f>'Interpolated_0p2V'!E18+M30</x:f>
        <x:v>0.78</x:v>
      </x:c>
      <x:c r="F18" s="11" t="n">
        <x:f>'Interpolated_0p2V'!F18+N30</x:f>
        <x:v>1.070300600794644</x:v>
      </x:c>
      <x:c r="G18" s="9" t="str">
        <x:v>SIMULATED_NOT_MEASURED</x:v>
      </x:c>
      <x:c r="H18" s="9"/>
      <x:c r="I18" s="26" t="n">
        <x:v>-1.2</x:v>
      </x:c>
      <x:c r="J18" s="26" t="n">
        <x:v>-0.003708669463217315</x:v>
      </x:c>
      <x:c r="K18" s="26" t="n">
        <x:v>0.016901628758480274</x:v>
      </x:c>
      <x:c r="L18" s="26" t="n">
        <x:v>0.010870770225005218</x:v>
      </x:c>
      <x:c r="M18" s="26" t="n">
        <x:v>-0.02371171473378246</x:v>
      </x:c>
      <x:c r="N18" s="26" t="n">
        <x:v>0.0045789368781548444</x:v>
      </x:c>
    </x:row>
    <x:row r="19" ht="24" customHeight="1">
      <x:c r="A19" s="10" t="n">
        <x:f>'Interpolated_0p2V'!A19</x:f>
        <x:v>1.4</x:v>
      </x:c>
      <x:c r="B19" s="11" t="n">
        <x:f>'Interpolated_0p2V'!B19+J31</x:f>
        <x:v>0.35303342026870604</x:v>
      </x:c>
      <x:c r="C19" s="11" t="n">
        <x:f>'Interpolated_0p2V'!C19+K31</x:f>
        <x:v>0.5042906585113742</x:v>
      </x:c>
      <x:c r="D19" s="11" t="n">
        <x:f>'Interpolated_0p2V'!D19+L31</x:f>
        <x:v>1.0467722064188087</x:v>
      </x:c>
      <x:c r="E19" s="11" t="n">
        <x:f>'Interpolated_0p2V'!E19+M31</x:f>
        <x:v>0.9</x:v>
      </x:c>
      <x:c r="F19" s="11" t="n">
        <x:f>'Interpolated_0p2V'!F19+N31</x:f>
        <x:v>1.2499604866310219</x:v>
      </x:c>
      <x:c r="G19" s="9" t="str">
        <x:v>SIMULATED_NOT_MEASURED</x:v>
      </x:c>
      <x:c r="H19" s="9"/>
      <x:c r="I19" s="26" t="n">
        <x:v>-1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</x:row>
    <x:row r="20" ht="24" customHeight="1">
      <x:c r="A20" s="10" t="n">
        <x:f>'Interpolated_0p2V'!A20</x:f>
        <x:v>1.6</x:v>
      </x:c>
      <x:c r="B20" s="11" t="n">
        <x:f>'Interpolated_0p2V'!B20+J32</x:f>
        <x:v>0.37461574831315747</x:v>
      </x:c>
      <x:c r="C20" s="11" t="n">
        <x:f>'Interpolated_0p2V'!C20+K32</x:f>
        <x:v>0.6083779563586745</x:v>
      </x:c>
      <x:c r="D20" s="11" t="n">
        <x:f>'Interpolated_0p2V'!D20+L32</x:f>
        <x:v>1.1336133022898853</x:v>
      </x:c>
      <x:c r="E20" s="11" t="n">
        <x:f>'Interpolated_0p2V'!E20+M32</x:f>
        <x:v>0.9844323223843111</x:v>
      </x:c>
      <x:c r="F20" s="11" t="n">
        <x:f>'Interpolated_0p2V'!F20+N32</x:f>
        <x:v>1.3983758645288435</x:v>
      </x:c>
      <x:c r="G20" s="9" t="str">
        <x:v>SIMULATED_NOT_MEASURED</x:v>
      </x:c>
      <x:c r="H20" s="9"/>
      <x:c r="I20" s="26" t="n">
        <x:v>-0.8</x:v>
      </x:c>
      <x:c r="J20" s="26" t="n">
        <x:v>-0.026837607501351106</x:v>
      </x:c>
      <x:c r="K20" s="26" t="n">
        <x:v>0.005819489302429101</x:v>
      </x:c>
      <x:c r="L20" s="26" t="n">
        <x:v>-0.017147817384130477</x:v>
      </x:c>
      <x:c r="M20" s="26" t="n">
        <x:v>0.013130712617634242</x:v>
      </x:c>
      <x:c r="N20" s="26" t="n">
        <x:v>-0.0076722385470590375</x:v>
      </x:c>
    </x:row>
    <x:row r="21" ht="24" customHeight="1">
      <x:c r="A21" s="10" t="n">
        <x:f>'Interpolated_0p2V'!A21</x:f>
        <x:v>1.8</x:v>
      </x:c>
      <x:c r="B21" s="11" t="n">
        <x:f>'Interpolated_0p2V'!B21+J33</x:f>
        <x:v>0.47631363051974285</x:v>
      </x:c>
      <x:c r="C21" s="11" t="n">
        <x:f>'Interpolated_0p2V'!C21+K33</x:f>
        <x:v>0.6832890926052408</x:v>
      </x:c>
      <x:c r="D21" s="11" t="n">
        <x:f>'Interpolated_0p2V'!D21+L33</x:f>
        <x:v>1.256541029278636</x:v>
      </x:c>
      <x:c r="E21" s="11" t="n">
        <x:f>'Interpolated_0p2V'!E21+M33</x:f>
        <x:v>1.1092134958320095</x:v>
      </x:c>
      <x:c r="F21" s="11" t="n">
        <x:f>'Interpolated_0p2V'!F21+N33</x:f>
        <x:v>1.598385970890545</x:v>
      </x:c>
      <x:c r="G21" s="9" t="str">
        <x:v>SIMULATED_NOT_MEASURED</x:v>
      </x:c>
      <x:c r="H21" s="9"/>
      <x:c r="I21" s="26" t="n">
        <x:v>-0.6</x:v>
      </x:c>
      <x:c r="J21" s="26" t="n">
        <x:v>0.021656349439443043</x:v>
      </x:c>
      <x:c r="K21" s="26" t="n">
        <x:v>0.01780021702766976</x:v>
      </x:c>
      <x:c r="L21" s="26" t="n">
        <x:v>0.012520505759530677</x:v>
      </x:c>
      <x:c r="M21" s="26" t="n">
        <x:v>-0.005730305232234618</x:v>
      </x:c>
      <x:c r="N21" s="26" t="n">
        <x:v>0.03799489784067438</x:v>
      </x:c>
    </x:row>
    <x:row r="22" ht="24" customHeight="1">
      <x:c r="A22" s="10" t="n">
        <x:f>'Interpolated_0p2V'!A22</x:f>
        <x:v>2</x:v>
      </x:c>
      <x:c r="B22" s="11" t="n">
        <x:f>'Interpolated_0p2V'!B22+J34</x:f>
        <x:v>0.49</x:v>
      </x:c>
      <x:c r="C22" s="11" t="n">
        <x:f>'Interpolated_0p2V'!C22+K34</x:f>
        <x:v>0.75</x:v>
      </x:c>
      <x:c r="D22" s="11" t="n">
        <x:f>'Interpolated_0p2V'!D22+L34</x:f>
        <x:v>1.41</x:v>
      </x:c>
      <x:c r="E22" s="11" t="n">
        <x:f>'Interpolated_0p2V'!E22+M34</x:f>
        <x:v>1.21</x:v>
      </x:c>
      <x:c r="F22" s="11" t="n">
        <x:f>'Interpolated_0p2V'!F22+N34</x:f>
        <x:v>1.77</x:v>
      </x:c>
      <x:c r="G22" s="9" t="str">
        <x:v>SIMULATED_NOT_MEASURED</x:v>
      </x:c>
      <x:c r="H22" s="9"/>
      <x:c r="I22" s="26" t="n">
        <x:v>-0.4</x:v>
      </x:c>
      <x:c r="J22" s="26" t="n">
        <x:v>0.01884889925472055</x:v>
      </x:c>
      <x:c r="K22" s="26" t="n">
        <x:v>0.006955020099727007</x:v>
      </x:c>
      <x:c r="L22" s="26" t="n">
        <x:v>-0.0076842703557228244</x:v>
      </x:c>
      <x:c r="M22" s="26" t="n">
        <x:v>0.022872558385044428</x:v>
      </x:c>
      <x:c r="N22" s="26" t="n">
        <x:v>0.0005793195592500783</x:v>
      </x:c>
    </x:row>
    <x:row r="23" ht="24" customHeight="1">
      <x:c r="A23" s="10"/>
      <x:c r="B23" s="11"/>
      <x:c r="C23" s="11"/>
      <x:c r="D23" s="11"/>
      <x:c r="E23" s="11"/>
      <x:c r="F23" s="11"/>
      <x:c r="G23" s="9"/>
      <x:c r="H23" s="9"/>
      <x:c r="I23" s="26" t="n">
        <x:v>-0.2</x:v>
      </x:c>
      <x:c r="J23" s="26" t="n">
        <x:v>0.002456101734117199</x:v>
      </x:c>
      <x:c r="K23" s="26" t="n">
        <x:v>0.019276943714399544</x:v>
      </x:c>
      <x:c r="L23" s="26" t="n">
        <x:v>0.017820539389791414</x:v>
      </x:c>
      <x:c r="M23" s="26" t="n">
        <x:v>0.04</x:v>
      </x:c>
      <x:c r="N23" s="26" t="n">
        <x:v>0.0034057700259634265</x:v>
      </x:c>
    </x:row>
    <x:row r="24" ht="24" customHeight="1">
      <x:c r="A24" s="10"/>
      <x:c r="B24" s="11"/>
      <x:c r="C24" s="11"/>
      <x:c r="D24" s="11"/>
      <x:c r="E24" s="11"/>
      <x:c r="F24" s="11"/>
      <x:c r="G24" s="9"/>
      <x:c r="H24" s="9"/>
      <x:c r="I24" s="26" t="n">
        <x:v>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26" t="n">
        <x:v>0</x:v>
      </x:c>
    </x:row>
    <x:row r="25" ht="24" customHeight="1">
      <x:c r="A25" s="10"/>
      <x:c r="B25" s="11"/>
      <x:c r="C25" s="11"/>
      <x:c r="D25" s="11"/>
      <x:c r="E25" s="11"/>
      <x:c r="F25" s="11"/>
      <x:c r="G25" s="9"/>
      <x:c r="H25" s="9"/>
      <x:c r="I25" s="26" t="n">
        <x:v>0.2</x:v>
      </x:c>
      <x:c r="J25" s="26" t="n">
        <x:v>0.0038578851050252135</x:v>
      </x:c>
      <x:c r="K25" s="26" t="n">
        <x:v>0.01420836934231821</x:v>
      </x:c>
      <x:c r="L25" s="26" t="n">
        <x:v>-0.011799985659089613</x:v>
      </x:c>
      <x:c r="M25" s="26" t="n">
        <x:v>0.01739997600903687</x:v>
      </x:c>
      <x:c r="N25" s="26" t="n">
        <x:v>0.0039122322248578666</x:v>
      </x:c>
    </x:row>
    <x:row r="26" ht="24" customHeight="1">
      <x:c r="A26" s="10"/>
      <x:c r="B26" s="11"/>
      <x:c r="C26" s="11"/>
      <x:c r="D26" s="11"/>
      <x:c r="E26" s="11"/>
      <x:c r="F26" s="11"/>
      <x:c r="G26" s="9"/>
      <x:c r="H26" s="9"/>
      <x:c r="I26" s="26" t="n">
        <x:v>0.4</x:v>
      </x:c>
      <x:c r="J26" s="26" t="n">
        <x:v>0.006155065739919831</x:v>
      </x:c>
      <x:c r="K26" s="26" t="n">
        <x:v>0.009011341381312975</x:v>
      </x:c>
      <x:c r="L26" s="26" t="n">
        <x:v>-0.005041762836673934</x:v>
      </x:c>
      <x:c r="M26" s="26" t="n">
        <x:v>-0.02951406772844678</x:v>
      </x:c>
      <x:c r="N26" s="26" t="n">
        <x:v>-0.010663860807037887</x:v>
      </x:c>
    </x:row>
    <x:row r="27" ht="24" customHeight="1">
      <x:c r="A27" s="10"/>
      <x:c r="B27" s="11"/>
      <x:c r="C27" s="11"/>
      <x:c r="D27" s="11"/>
      <x:c r="E27" s="11"/>
      <x:c r="F27" s="11"/>
      <x:c r="G27" s="9"/>
      <x:c r="H27" s="9"/>
      <x:c r="I27" s="26" t="n">
        <x:v>0.6</x:v>
      </x:c>
      <x:c r="J27" s="26" t="n">
        <x:v>0.03666774611375503</x:v>
      </x:c>
      <x:c r="K27" s="26" t="n">
        <x:v>0.017838938004354883</x:v>
      </x:c>
      <x:c r="L27" s="26" t="n">
        <x:v>-0.00798550619259187</x:v>
      </x:c>
      <x:c r="M27" s="26" t="n">
        <x:v>-0.02143050373364896</x:v>
      </x:c>
      <x:c r="N27" s="26" t="n">
        <x:v>0.01251616131923298</x:v>
      </x:c>
    </x:row>
    <x:row r="28" ht="24" customHeight="1">
      <x:c r="A28" s="10"/>
      <x:c r="B28" s="11"/>
      <x:c r="C28" s="11"/>
      <x:c r="D28" s="11"/>
      <x:c r="E28" s="11"/>
      <x:c r="F28" s="11"/>
      <x:c r="G28" s="9"/>
      <x:c r="H28" s="9"/>
      <x:c r="I28" s="26" t="n">
        <x:v>0.8</x:v>
      </x:c>
      <x:c r="J28" s="26" t="n">
        <x:v>0.02095472476612414</x:v>
      </x:c>
      <x:c r="K28" s="26" t="n">
        <x:v>0.023770393982307247</x:v>
      </x:c>
      <x:c r="L28" s="26" t="n">
        <x:v>-0.00925680306635787</x:v>
      </x:c>
      <x:c r="M28" s="26" t="n">
        <x:v>0.005669329561226542</x:v>
      </x:c>
      <x:c r="N28" s="26" t="n">
        <x:v>-0.0029975344465275155</x:v>
      </x:c>
    </x:row>
    <x:row r="29" ht="24" customHeight="1">
      <x:c r="A29" s="10"/>
      <x:c r="B29" s="11"/>
      <x:c r="C29" s="11"/>
      <x:c r="D29" s="11"/>
      <x:c r="E29" s="11"/>
      <x:c r="F29" s="11"/>
      <x:c r="G29" s="9"/>
      <x:c r="H29" s="9"/>
      <x:c r="I29" s="26" t="n">
        <x:v>1</x:v>
      </x:c>
      <x:c r="J29" s="26" t="n">
        <x:v>0</x:v>
      </x:c>
      <x:c r="K29" s="26" t="n">
        <x:v>0</x:v>
      </x:c>
      <x:c r="L29" s="26" t="n">
        <x:v>0</x:v>
      </x:c>
      <x:c r="M29" s="26" t="n">
        <x:v>0</x:v>
      </x:c>
      <x:c r="N29" s="26" t="n">
        <x:v>0</x:v>
      </x:c>
    </x:row>
    <x:row r="30" ht="24" customHeight="1">
      <x:c r="A30" s="10"/>
      <x:c r="B30" s="11"/>
      <x:c r="C30" s="11"/>
      <x:c r="D30" s="11"/>
      <x:c r="E30" s="11"/>
      <x:c r="F30" s="11"/>
      <x:c r="G30" s="9"/>
      <x:c r="H30" s="9"/>
      <x:c r="I30" s="26" t="n">
        <x:v>1.2</x:v>
      </x:c>
      <x:c r="J30" s="26" t="n">
        <x:v>-0.03171882926316072</x:v>
      </x:c>
      <x:c r="K30" s="26" t="n">
        <x:v>-0.031235701840163114</x:v>
      </x:c>
      <x:c r="L30" s="26" t="n">
        <x:v>-0.020739797162486636</x:v>
      </x:c>
      <x:c r="M30" s="26" t="n">
        <x:v>0.04</x:v>
      </x:c>
      <x:c r="N30" s="26" t="n">
        <x:v>0.00030060079464390747</x:v>
      </x:c>
    </x:row>
    <x:row r="31" ht="24" customHeight="1">
      <x:c r="A31" s="10"/>
      <x:c r="B31" s="11"/>
      <x:c r="C31" s="11"/>
      <x:c r="D31" s="11"/>
      <x:c r="E31" s="11"/>
      <x:c r="F31" s="11"/>
      <x:c r="G31" s="9"/>
      <x:c r="H31" s="9"/>
      <x:c r="I31" s="26" t="n">
        <x:v>1.4</x:v>
      </x:c>
      <x:c r="J31" s="26" t="n">
        <x:v>0.01503342026870609</x:v>
      </x:c>
      <x:c r="K31" s="26" t="n">
        <x:v>-0.02770934148862568</x:v>
      </x:c>
      <x:c r="L31" s="26" t="n">
        <x:v>0.03677220641880883</x:v>
      </x:c>
      <x:c r="M31" s="26" t="n">
        <x:v>0.04</x:v>
      </x:c>
      <x:c r="N31" s="26" t="n">
        <x:v>-0.00003951336897806701</x:v>
      </x:c>
    </x:row>
    <x:row r="32" ht="24" customHeight="1">
      <x:c r="A32" s="10"/>
      <x:c r="B32" s="11"/>
      <x:c r="C32" s="11"/>
      <x:c r="D32" s="11"/>
      <x:c r="E32" s="11"/>
      <x:c r="F32" s="11"/>
      <x:c r="G32" s="9"/>
      <x:c r="H32" s="9"/>
      <x:c r="I32" s="26" t="n">
        <x:v>1.6</x:v>
      </x:c>
      <x:c r="J32" s="26" t="n">
        <x:v>-0.011384251686842565</x:v>
      </x:c>
      <x:c r="K32" s="26" t="n">
        <x:v>0.0023779563586745775</x:v>
      </x:c>
      <x:c r="L32" s="26" t="n">
        <x:v>-0.0123866977101147</x:v>
      </x:c>
      <x:c r="M32" s="26" t="n">
        <x:v>0.00643232238431105</x:v>
      </x:c>
      <x:c r="N32" s="26" t="n">
        <x:v>-0.02762413547115665</x:v>
      </x:c>
    </x:row>
    <x:row r="33" ht="24" customHeight="1">
      <x:c r="A33" s="10"/>
      <x:c r="B33" s="11"/>
      <x:c r="C33" s="11"/>
      <x:c r="D33" s="11"/>
      <x:c r="E33" s="11"/>
      <x:c r="F33" s="11"/>
      <x:c r="G33" s="9"/>
      <x:c r="H33" s="9"/>
      <x:c r="I33" s="26" t="n">
        <x:v>1.8</x:v>
      </x:c>
      <x:c r="J33" s="26" t="n">
        <x:v>0.03831363051974286</x:v>
      </x:c>
      <x:c r="K33" s="26" t="n">
        <x:v>0.005289092605240893</x:v>
      </x:c>
      <x:c r="L33" s="26" t="n">
        <x:v>-0.02145897072136384</x:v>
      </x:c>
      <x:c r="M33" s="26" t="n">
        <x:v>0.015213495832009278</x:v>
      </x:c>
      <x:c r="N33" s="26" t="n">
        <x:v>0.00038597089054497036</x:v>
      </x:c>
    </x:row>
    <x:row r="34" ht="24" customHeight="1">
      <x:c r="A34" s="10"/>
      <x:c r="B34" s="11"/>
      <x:c r="C34" s="11"/>
      <x:c r="D34" s="11"/>
      <x:c r="E34" s="11"/>
      <x:c r="F34" s="11"/>
      <x:c r="G34" s="9"/>
      <x:c r="H34" s="9"/>
      <x:c r="I34" s="26" t="n">
        <x:v>2</x:v>
      </x:c>
      <x:c r="J34" s="26" t="n">
        <x:v>0</x:v>
      </x:c>
      <x:c r="K34" s="26" t="n">
        <x:v>0</x:v>
      </x:c>
      <x:c r="L34" s="26" t="n">
        <x:v>0</x:v>
      </x:c>
      <x:c r="M34" s="26" t="n">
        <x:v>0</x:v>
      </x:c>
      <x:c r="N34" s="26" t="n">
        <x:v>0</x:v>
      </x:c>
    </x:row>
    <x:row r="35" ht="24" customHeight="1">
      <x:c r="A35" s="10"/>
      <x:c r="B35" s="11"/>
      <x:c r="C35" s="11"/>
      <x:c r="D35" s="11"/>
      <x:c r="E35" s="11"/>
      <x:c r="F35" s="11"/>
      <x:c r="G35" s="9"/>
      <x:c r="H35" s="9"/>
      <x:c r="I35" s="9"/>
      <x:c r="J35" s="9"/>
      <x:c r="K35" s="9"/>
      <x:c r="L35" s="9"/>
      <x:c r="M35" s="9"/>
      <x:c r="N35" s="9"/>
    </x:row>
  </x:sheetData>
  <x:pageMargins left="0.7" right="0.7" top="0.75" bottom="0.75" header="0.3" footer="0.3"/>
</x:worksheet>
</file>